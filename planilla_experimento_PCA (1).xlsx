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Resultados Eli" sheetId="2" r:id="rId5"/>
    <sheet state="visible" name="Analisis" sheetId="3" r:id="rId6"/>
    <sheet state="visible" name="Analisis Eli" sheetId="4" r:id="rId7"/>
  </sheets>
  <definedNames/>
  <calcPr/>
  <extLst>
    <ext uri="GoogleSheetsCustomDataVersion2">
      <go:sheetsCustomData xmlns:go="http://customooxmlschemas.google.com/" r:id="rId8" roundtripDataChecksum="cVwon27wz1vWSfxjdiOxOVqtL2Zyu2YwR81ak66vtp4="/>
    </ext>
  </extLst>
</workbook>
</file>

<file path=xl/sharedStrings.xml><?xml version="1.0" encoding="utf-8"?>
<sst xmlns="http://schemas.openxmlformats.org/spreadsheetml/2006/main" count="241" uniqueCount="98">
  <si>
    <t>EXPERIMENTO PCA - Problema #6 - Registro de corridas (Matías Odello)</t>
  </si>
  <si>
    <t>Métrica del experimento: ganancia MÁXIMA entre cortes 1800-2400 (col M, fórmula automática). Completar solo celdas azules.</t>
  </si>
  <si>
    <t>Corrida</t>
  </si>
  <si>
    <t>Variante</t>
  </si>
  <si>
    <t>Semilla</t>
  </si>
  <si>
    <t>1800</t>
  </si>
  <si>
    <t>1900</t>
  </si>
  <si>
    <t>2000</t>
  </si>
  <si>
    <t>2100</t>
  </si>
  <si>
    <t>2200</t>
  </si>
  <si>
    <t>2300</t>
  </si>
  <si>
    <t>2400</t>
  </si>
  <si>
    <t>Ganancia MAX</t>
  </si>
  <si>
    <t>Corte óptimo</t>
  </si>
  <si>
    <t>t_corrida (min)</t>
  </si>
  <si>
    <t>Fecha</t>
  </si>
  <si>
    <t>Observaciones</t>
  </si>
  <si>
    <t>V0_baseline</t>
  </si>
  <si>
    <t>2026-07-11</t>
  </si>
  <si>
    <t>en Kaggle figura como 9101; max censurado en corte 1800</t>
  </si>
  <si>
    <t>max censurado en corte 1800</t>
  </si>
  <si>
    <t>curva plana/irregular; max en 2300</t>
  </si>
  <si>
    <t>curva decreciente; max en 1900</t>
  </si>
  <si>
    <t>max en 2000 (interior de la grilla)</t>
  </si>
  <si>
    <t>V4_augment</t>
  </si>
  <si>
    <t>en Kaggle figura como 9102; PCs=52, Gain PCs=21.7%, PC21 top PC; max censurado en corte 1800</t>
  </si>
  <si>
    <t>en Kaggle figura como 9103; PCs=52, Gain PCs=19.7%, PC21 top PC</t>
  </si>
  <si>
    <t>completa; curva creciente, max 75.431 en 2400 (borde superior de la grilla)</t>
  </si>
  <si>
    <t>2026-07-12</t>
  </si>
  <si>
    <t>max en 1800 (borde inferior); curva irregular con rebote en 2300</t>
  </si>
  <si>
    <t>curva irregular; max en 2200</t>
  </si>
  <si>
    <t>V3_rotacion</t>
  </si>
  <si>
    <t>k=52 PCs (dataset junior tiene 52 atributos, no 154). Curva decreciente, max en 1800. Top PCs: PC4, PC1, PC5</t>
  </si>
  <si>
    <t>k=52. Max en 1800. Top PCs: PC1, PC4, PC3, PC5 (alta varianza). PC21 cae al puesto 42 (Gain 0.0089)</t>
  </si>
  <si>
    <t>k=52. Max en 1900. Top PCs: PC4, PC1, PC5, PC3, PC6. PC21 puesto 17</t>
  </si>
  <si>
    <t>k=52. Max en 1800. Top PCs: PC1, PC4, PC6, PC5, PC3. PC21 puesto 12</t>
  </si>
  <si>
    <t>k=52. Max en 1800. Top PCs: PC1, PC4, PC6, PC5, PC3. PC21 puesto 27</t>
  </si>
  <si>
    <t>V2_pca90</t>
  </si>
  <si>
    <t>2026-07-13</t>
  </si>
  <si>
    <t>k=33 de 52 (var acum 0.9074), descarta 19. Max en 1800. Top: PC4, PC1, PC6, PC5, PC28. PC21 puesto 16</t>
  </si>
  <si>
    <t>k=33 (var 0.9074). Max en 1800 (censurado, curva decreciente). Top: PC4, PC1, PC5, PC6, PC28. PC21 puesto 11</t>
  </si>
  <si>
    <t>k=33 (var 0.9074). Max en 1800. Top: PC4, PC1, PC6, PC5, PC2, PC28. PC21 puesto 14</t>
  </si>
  <si>
    <t>k=33 (var 0.9074). Max en 1800. Top: PC4, PC1, PC3, PC6, PC5, PC28. PC21 puesto 21</t>
  </si>
  <si>
    <t>k=33 (var 0.9074). Max en 2000. Top: PC4, PC1, PC6, PC5, PC28. PC21 puesto 23</t>
  </si>
  <si>
    <t>V1_pca80</t>
  </si>
  <si>
    <t>k=25 de 52 (var 0.8078), descarta 27. Max en 1900. PC28 NO sobrevive (k=25). Top: PC4, PC1, PC5, PC10, PC6. PC21 puesto 17</t>
  </si>
  <si>
    <t>k=25 (var 0.8078). Max en 1800 (censurado). Top: PC1, PC4, PC5, PC3, PC6. PC21 puesto 15</t>
  </si>
  <si>
    <t>k=25 (var 0.8078). Max en 1900. Top: PC4, PC1, PC5, PC6, PC3, PC10. PC21 puesto 17</t>
  </si>
  <si>
    <t>k=25 (var 0.8078). Max en 1900. Top: PC1, PC4, PC10, PC6, PC5. PC21 puesto 9</t>
  </si>
  <si>
    <t>k=25 (var 0.8078). Max en 1800. Top: PC1, PC4, PC5, PC6, PC2. PC21 puesto 17</t>
  </si>
  <si>
    <t>V6_pca70</t>
  </si>
  <si>
    <t>k=19 de 52 (var 0.7113), descarta 33. Max en 2300. PC21 YA NO EXISTE (k=19). Top: PC4, PC1, PC6, PC5</t>
  </si>
  <si>
    <t>k=19 (var 0.7113). Max en 1800. PC21 no existe. Top: PC4, PC1, PC6, PC3, PC5</t>
  </si>
  <si>
    <t>NO CORRIDA - experimento V6 discontinuado tras confirmar la caida en 2 semillas</t>
  </si>
  <si>
    <t>Orden de ejecución recomendado: V0 -&gt; V4 -&gt; V3 -&gt; V2 -&gt; V1.</t>
  </si>
  <si>
    <t>max en 1900</t>
  </si>
  <si>
    <t>curva irregular; max en 2100</t>
  </si>
  <si>
    <t>modo=augment, k=52 de 52; Features=106, PCs=52 (Gain PCs=20.8%, muy bajo); Top 12 son TODAS variables originales (ctrx_quarter, mcaja_ahorro, etc.); PC4 recién en puesto 13 con Gain 0.0142 (vs 0.15-0.19 en V1/V2/V3); tiempo 29:53</t>
  </si>
  <si>
    <t>modo=augment, k=52 de 52; Features=106, PCs=52 (Gain PCs=24%); Top 8 son variables originales (ctrx_quarter, mcaja_ahorro, mcuentas_saldo...); PC10 y PC21 recién aparecen en puestos 9-10 (Gain ~0.02-0.03); PC4 en puesto 12 (0.0157, vs 0.15-0.19 en V1/V2/V3); tiempo 23:59</t>
  </si>
  <si>
    <t>modo=augment, k=52 de 52; Features=106, PCs=52 (Gain PCs=16.2%, la más baja de las 3); Top 14 son TODAS variables originales; PC5 recién en puesto 15 (Gain 0.0094, el más bajo visto hasta ahora); tiempo 24:41</t>
  </si>
  <si>
    <t xml:space="preserve">modo=augment, k=52 de 52; Features=106, PCs=52 (Gain PCs=17.3%); Top 13 son TODAS variables originales; PC4 recién en puesto 14 (Gain 0.0149); tiempo 23:54
</t>
  </si>
  <si>
    <t>max en 1800 (borde inferior); k=52 de 52 (var 1.0); Features=54, PCs=52 (Gain PCs=95.8%); Top: PC4, PC1, PC6, PC3, PC10; componentes de cola (PC28, PC32, PC36, PC45) aparecen en el top 15</t>
  </si>
  <si>
    <t>max en 1800 (borde inferior); k=52 de 52 (var 1.0); Features=54, PCs=52 (Gain PCs=95.1%); Top: PC1, PC4, PC5, PC6, foto_mes; señal dispersa hasta PC43 (PC28, PC36, PC43 en el top 15)</t>
  </si>
  <si>
    <t>k=52 de 52 (var 1.0); Features=54, PCs=52 (Gain PCs=95.4%); Top: PC1, PC4, PC6, PC3, foto_mes; señal dispersa hasta PC43</t>
  </si>
  <si>
    <t>k=52 de 52 (var 1.0); Features=54, PCs=52 (Gain PCs=95.7%); Top: PC1, PC4, PC6, PC5, PC43; señal dispersa hasta PC43 (PC28, PC36, PC43 en top 15)</t>
  </si>
  <si>
    <t>k=52 de 52 (var 1.0); Features=54, PCs=52 (Gain PCs=95.5%); Top: PC4, PC1, PC6, PC5, PC3; señal dispersa hasta PC43 (PC28, PC32, PC36, PC43 en top 15)</t>
  </si>
  <si>
    <t xml:space="preserve">k=33 de 52 (var acum ~0.90); Features=35, PCs=33 (Gain PCs=95%); Top: PC4, PC1, PC5, PC6, PC10; PC28, PC32 en top 15 (menos dispersión que V3, más que V1); tiempo 20:06
</t>
  </si>
  <si>
    <t xml:space="preserve">k=33 de 52 (var acum ~0.90); Features=35, PCs=33 (Gain PCs=94.9%); Top: PC4, PC1, PC5, PC6, PC3; PC28, PC21 en top 15; tiempo 20:10
</t>
  </si>
  <si>
    <t xml:space="preserve">k=33 de 52 (var acum ~0.90); Features=35, PCs=33 (Gain PCs=95.2%); Top: PC4, PC1, PC6, PC10, PC5; PC28, PC21 en top 15; tiempo 19:23
</t>
  </si>
  <si>
    <t xml:space="preserve">k=33 de 52 (var acum ~0.90); Features=35, PCs=33 (Gain PCs=94.7%); Top: PC4, PC1, PC6, PC10, foto_mes; PC28 en top 15; tiempo 19:54
</t>
  </si>
  <si>
    <t>max censurado en corte 1800: k=25 de 52 (var 0.8078), PCs=25 (Gain PCs=93.9%); Top: PC1, PC4, PC6, PC10</t>
  </si>
  <si>
    <t>max en 1900; k=25 de 52 (var 0.8078); Features=27, PCs=25 (Gain PCs=93.3%); Top: PC4, PC1, PC6, PC5, foto_mes; numero_de_cliente aparece en el top 15 (Gain 0.0230, no visto en 9211)</t>
  </si>
  <si>
    <t>curva irregular; max en 2100; k=25 de 52 (var 0.8078); Features=27, PCs=25 (Gain PCs=93.2%); Top: PC4, PC1, PC6, PC3, PC5; PC25 reaparece en el top 15 (puesto 14)</t>
  </si>
  <si>
    <t>max en 1800 (borde inferior); curva irregular con rebote en 2300; k=25 de 52 (var 0.8078); Features=27, PCs=25 (Gain PCs=93.6%); Top: PC1, PC4, PC6, PC5, foto_mes; PC21 y PC23 reaparecen en el top 15 (puestos 10 y 14)</t>
  </si>
  <si>
    <t>curva irregular; max en 2400; k=25 de 52 (var 0.8078); Features=27, PCs=25 (Gain PCs=93.9%); Top: PC4, PC1, PC5, PC6, PC2; PC21 reaparece en el top 15 (puesto 12);</t>
  </si>
  <si>
    <t>ANÁLISIS - se calcula solo a partir de la hoja Resultados</t>
  </si>
  <si>
    <t>Resumen por grupo (sobre Ganancia MAX de cada corrida)</t>
  </si>
  <si>
    <t>Grupo</t>
  </si>
  <si>
    <t>Corridas cargadas</t>
  </si>
  <si>
    <t>Mediana</t>
  </si>
  <si>
    <t>Media</t>
  </si>
  <si>
    <t>Mín</t>
  </si>
  <si>
    <t>Máx</t>
  </si>
  <si>
    <t>Δ mediana vs V0</t>
  </si>
  <si>
    <t>V6_pca70 (parcial 2/5)</t>
  </si>
  <si>
    <t>Comparación PAREADA por semilla (Ganancia MAX). Δ = variante - V0. Base del test de Wilcoxon.</t>
  </si>
  <si>
    <t>V0</t>
  </si>
  <si>
    <t>V4</t>
  </si>
  <si>
    <t>V3</t>
  </si>
  <si>
    <t>V2</t>
  </si>
  <si>
    <t>V1</t>
  </si>
  <si>
    <t>Δ V4-V0</t>
  </si>
  <si>
    <t>Δ V3-V0</t>
  </si>
  <si>
    <t>Δ V2-V0</t>
  </si>
  <si>
    <t>Δ V1-V0</t>
  </si>
  <si>
    <t>Δ &gt; 0 (mejora):</t>
  </si>
  <si>
    <t>Δ &lt; 0 (empeora):</t>
  </si>
  <si>
    <t>Nota: el test de Wilcoxon pareado se corre en R con analizar_experimento(); esta hoja da la vista previa (dirección y magnitud de las diferencias por semilla).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</si>
</sst>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yyyy-mm-dd"/>
    <numFmt numFmtId="166" formatCode="\+0.000;\-0.000;0.000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  <fill>
      <patternFill patternType="solid">
        <fgColor rgb="FFE2C6DF"/>
        <bgColor rgb="FFE2C6DF"/>
      </patternFill>
    </fill>
    <fill>
      <patternFill patternType="solid">
        <fgColor rgb="FFF4B8B0"/>
        <bgColor rgb="FFF4B8B0"/>
      </patternFill>
    </fill>
    <fill>
      <patternFill patternType="solid">
        <fgColor rgb="FFC6E0B4"/>
        <bgColor rgb="FFC6E0B4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5" numFmtId="0" xfId="0" applyAlignment="1" applyBorder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6" fontId="5" numFmtId="0" xfId="0" applyAlignment="1" applyBorder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8" fontId="7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5" fontId="4" numFmtId="0" xfId="0" applyAlignment="1" applyBorder="1" applyFont="1">
      <alignment readingOrder="0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7" fontId="4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8" fontId="7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lt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O35" displayName="Tabla_1" name="Tabla_1" id="1">
  <tableColumns count="15">
    <tableColumn name="Corrida" id="1"/>
    <tableColumn name="Variante" id="2"/>
    <tableColumn name="Semilla" id="3"/>
    <tableColumn name="1800" id="4"/>
    <tableColumn name="1900" id="5"/>
    <tableColumn name="2000" id="6"/>
    <tableColumn name="2100" id="7"/>
    <tableColumn name="2200" id="8"/>
    <tableColumn name="2300" id="9"/>
    <tableColumn name="2400" id="10"/>
    <tableColumn name="Ganancia MAX" id="11"/>
    <tableColumn name="Corte óptimo" id="12"/>
    <tableColumn name="t_corrida (min)" id="13"/>
    <tableColumn name="Fecha" id="14"/>
    <tableColumn name="Observaciones" id="15"/>
  </tableColumns>
  <tableStyleInfo name="Resul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6.71"/>
    <col customWidth="1" min="2" max="2" width="17.57"/>
    <col customWidth="1" min="3" max="3" width="16.71"/>
    <col customWidth="1" min="4" max="10" width="14.29"/>
    <col customWidth="1" min="11" max="11" width="27.43"/>
    <col customWidth="1" min="12" max="12" width="26.71"/>
    <col customWidth="1" min="13" max="13" width="23.29"/>
    <col customWidth="1" min="14" max="14" width="16.43"/>
    <col customWidth="1" min="15" max="15" width="120.57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ht="15.0" customHeight="1">
      <c r="A5" s="5">
        <v>9201.0</v>
      </c>
      <c r="B5" s="6" t="s">
        <v>17</v>
      </c>
      <c r="C5" s="7">
        <v>159636.0</v>
      </c>
      <c r="D5" s="8">
        <v>76.594</v>
      </c>
      <c r="E5" s="8">
        <v>74.101</v>
      </c>
      <c r="F5" s="8">
        <v>71.609</v>
      </c>
      <c r="G5" s="8">
        <v>69.366</v>
      </c>
      <c r="H5" s="8">
        <v>66.708</v>
      </c>
      <c r="I5" s="8">
        <v>67.455</v>
      </c>
      <c r="J5" s="8">
        <v>64.797</v>
      </c>
      <c r="K5" s="9">
        <f t="shared" ref="K5:K34" si="1">IF(COUNT(D5:J5)=0,"",MAX(D5:J5))</f>
        <v>76.594</v>
      </c>
      <c r="L5" s="7">
        <f t="shared" ref="L5:L34" si="2">IF(COUNT(D5:J5)=0,"",INDEX($D$4:$J$4,MATCH(MAX(D5:J5),D5:J5,0))+0)</f>
        <v>1800</v>
      </c>
      <c r="M5" s="10">
        <v>48.0</v>
      </c>
      <c r="N5" s="11" t="s">
        <v>18</v>
      </c>
      <c r="O5" s="12" t="s">
        <v>19</v>
      </c>
    </row>
    <row r="6" ht="15.0" customHeight="1">
      <c r="A6" s="5">
        <v>9202.0</v>
      </c>
      <c r="B6" s="6" t="s">
        <v>17</v>
      </c>
      <c r="C6" s="7">
        <v>264797.0</v>
      </c>
      <c r="D6" s="8">
        <v>72.689</v>
      </c>
      <c r="E6" s="8">
        <v>70.778</v>
      </c>
      <c r="F6" s="8">
        <v>68.286</v>
      </c>
      <c r="G6" s="8">
        <v>69.2</v>
      </c>
      <c r="H6" s="8">
        <v>67.206</v>
      </c>
      <c r="I6" s="8">
        <v>63.8</v>
      </c>
      <c r="J6" s="8">
        <v>61.391</v>
      </c>
      <c r="K6" s="9">
        <f t="shared" si="1"/>
        <v>72.689</v>
      </c>
      <c r="L6" s="7">
        <f t="shared" si="2"/>
        <v>1800</v>
      </c>
      <c r="M6" s="10">
        <v>19.0</v>
      </c>
      <c r="N6" s="11" t="s">
        <v>18</v>
      </c>
      <c r="O6" s="12" t="s">
        <v>20</v>
      </c>
    </row>
    <row r="7" ht="15.0" customHeight="1">
      <c r="A7" s="5">
        <v>9203.0</v>
      </c>
      <c r="B7" s="6" t="s">
        <v>17</v>
      </c>
      <c r="C7" s="7">
        <v>357159.0</v>
      </c>
      <c r="D7" s="8">
        <v>71.277</v>
      </c>
      <c r="E7" s="8">
        <v>68.868</v>
      </c>
      <c r="F7" s="8">
        <v>69.449</v>
      </c>
      <c r="G7" s="8">
        <v>66.791</v>
      </c>
      <c r="H7" s="8">
        <v>70.446</v>
      </c>
      <c r="I7" s="8">
        <v>71.443</v>
      </c>
      <c r="J7" s="8">
        <v>69.2</v>
      </c>
      <c r="K7" s="9">
        <f t="shared" si="1"/>
        <v>71.443</v>
      </c>
      <c r="L7" s="7">
        <f t="shared" si="2"/>
        <v>2300</v>
      </c>
      <c r="M7" s="10">
        <v>17.0</v>
      </c>
      <c r="N7" s="11" t="s">
        <v>18</v>
      </c>
      <c r="O7" s="12" t="s">
        <v>21</v>
      </c>
    </row>
    <row r="8" ht="15.0" customHeight="1">
      <c r="A8" s="5">
        <v>9204.0</v>
      </c>
      <c r="B8" s="6" t="s">
        <v>17</v>
      </c>
      <c r="C8" s="7">
        <v>753159.0</v>
      </c>
      <c r="D8" s="8">
        <v>70.861</v>
      </c>
      <c r="E8" s="8">
        <v>71.111</v>
      </c>
      <c r="F8" s="8">
        <v>68.369</v>
      </c>
      <c r="G8" s="8">
        <v>65.794</v>
      </c>
      <c r="H8" s="8">
        <v>63.385</v>
      </c>
      <c r="I8" s="8">
        <v>61.059</v>
      </c>
      <c r="J8" s="8">
        <v>62.222</v>
      </c>
      <c r="K8" s="9">
        <f t="shared" si="1"/>
        <v>71.111</v>
      </c>
      <c r="L8" s="7">
        <f t="shared" si="2"/>
        <v>1900</v>
      </c>
      <c r="M8" s="10">
        <v>18.0</v>
      </c>
      <c r="N8" s="11" t="s">
        <v>18</v>
      </c>
      <c r="O8" s="12" t="s">
        <v>22</v>
      </c>
    </row>
    <row r="9" ht="15.0" customHeight="1">
      <c r="A9" s="5">
        <v>9205.0</v>
      </c>
      <c r="B9" s="6" t="s">
        <v>17</v>
      </c>
      <c r="C9" s="7">
        <v>456852.0</v>
      </c>
      <c r="D9" s="8">
        <v>69.782</v>
      </c>
      <c r="E9" s="8">
        <v>70.778</v>
      </c>
      <c r="F9" s="8">
        <v>72.191</v>
      </c>
      <c r="G9" s="8">
        <v>70.031</v>
      </c>
      <c r="H9" s="8">
        <v>66.209</v>
      </c>
      <c r="I9" s="8">
        <v>63.302</v>
      </c>
      <c r="J9" s="8">
        <v>64.299</v>
      </c>
      <c r="K9" s="9">
        <f t="shared" si="1"/>
        <v>72.191</v>
      </c>
      <c r="L9" s="7">
        <f t="shared" si="2"/>
        <v>2000</v>
      </c>
      <c r="M9" s="10">
        <v>17.0</v>
      </c>
      <c r="N9" s="11" t="s">
        <v>18</v>
      </c>
      <c r="O9" s="12" t="s">
        <v>23</v>
      </c>
    </row>
    <row r="10" ht="15.0" customHeight="1">
      <c r="A10" s="13">
        <v>9241.0</v>
      </c>
      <c r="B10" s="14" t="s">
        <v>24</v>
      </c>
      <c r="C10" s="7">
        <v>159636.0</v>
      </c>
      <c r="D10" s="8">
        <v>69.449</v>
      </c>
      <c r="E10" s="8">
        <v>67.455</v>
      </c>
      <c r="F10" s="8">
        <v>68.037</v>
      </c>
      <c r="G10" s="8">
        <v>68.618</v>
      </c>
      <c r="H10" s="8">
        <v>66.043</v>
      </c>
      <c r="I10" s="8">
        <v>64.132</v>
      </c>
      <c r="J10" s="8">
        <v>65.046</v>
      </c>
      <c r="K10" s="9">
        <f t="shared" si="1"/>
        <v>69.449</v>
      </c>
      <c r="L10" s="7">
        <f t="shared" si="2"/>
        <v>1800</v>
      </c>
      <c r="M10" s="10"/>
      <c r="N10" s="11" t="s">
        <v>18</v>
      </c>
      <c r="O10" s="12" t="s">
        <v>25</v>
      </c>
    </row>
    <row r="11" ht="15.0" customHeight="1">
      <c r="A11" s="13">
        <v>9242.0</v>
      </c>
      <c r="B11" s="14" t="s">
        <v>24</v>
      </c>
      <c r="C11" s="7">
        <v>264797.0</v>
      </c>
      <c r="D11" s="8">
        <v>80.581</v>
      </c>
      <c r="E11" s="8">
        <v>81.246</v>
      </c>
      <c r="F11" s="8">
        <v>78.67</v>
      </c>
      <c r="G11" s="8">
        <v>76.594</v>
      </c>
      <c r="H11" s="8">
        <v>73.52</v>
      </c>
      <c r="I11" s="8">
        <v>71.111</v>
      </c>
      <c r="J11" s="8">
        <v>72.274</v>
      </c>
      <c r="K11" s="9">
        <f t="shared" si="1"/>
        <v>81.246</v>
      </c>
      <c r="L11" s="7">
        <f t="shared" si="2"/>
        <v>1900</v>
      </c>
      <c r="M11" s="10"/>
      <c r="N11" s="11" t="s">
        <v>18</v>
      </c>
      <c r="O11" s="12" t="s">
        <v>26</v>
      </c>
    </row>
    <row r="12" ht="15.0" customHeight="1">
      <c r="A12" s="13">
        <v>9243.0</v>
      </c>
      <c r="B12" s="14" t="s">
        <v>24</v>
      </c>
      <c r="C12" s="7">
        <v>357159.0</v>
      </c>
      <c r="D12" s="8">
        <v>69.782</v>
      </c>
      <c r="E12" s="8">
        <v>66.874</v>
      </c>
      <c r="F12" s="8">
        <v>71.36</v>
      </c>
      <c r="G12" s="8">
        <v>72.191</v>
      </c>
      <c r="H12" s="8">
        <v>73.603</v>
      </c>
      <c r="I12" s="8">
        <v>74.517</v>
      </c>
      <c r="J12" s="8">
        <v>75.431</v>
      </c>
      <c r="K12" s="9">
        <f t="shared" si="1"/>
        <v>75.431</v>
      </c>
      <c r="L12" s="7">
        <f t="shared" si="2"/>
        <v>2400</v>
      </c>
      <c r="M12" s="10">
        <v>23.0</v>
      </c>
      <c r="N12" s="11" t="s">
        <v>18</v>
      </c>
      <c r="O12" s="12" t="s">
        <v>27</v>
      </c>
    </row>
    <row r="13" ht="15.0" customHeight="1">
      <c r="A13" s="13">
        <v>9244.0</v>
      </c>
      <c r="B13" s="14" t="s">
        <v>24</v>
      </c>
      <c r="C13" s="7">
        <v>753159.0</v>
      </c>
      <c r="D13" s="8">
        <v>69.698</v>
      </c>
      <c r="E13" s="8">
        <v>67.622</v>
      </c>
      <c r="F13" s="8">
        <v>65.379</v>
      </c>
      <c r="G13" s="8">
        <v>62.471</v>
      </c>
      <c r="H13" s="8">
        <v>60.228</v>
      </c>
      <c r="I13" s="8">
        <v>67.372</v>
      </c>
      <c r="J13" s="8">
        <v>65.129</v>
      </c>
      <c r="K13" s="9">
        <f t="shared" si="1"/>
        <v>69.698</v>
      </c>
      <c r="L13" s="7">
        <f t="shared" si="2"/>
        <v>1800</v>
      </c>
      <c r="M13" s="10">
        <v>25.0</v>
      </c>
      <c r="N13" s="11" t="s">
        <v>28</v>
      </c>
      <c r="O13" s="12" t="s">
        <v>29</v>
      </c>
    </row>
    <row r="14" ht="15.0" customHeight="1">
      <c r="A14" s="13">
        <v>9245.0</v>
      </c>
      <c r="B14" s="14" t="s">
        <v>24</v>
      </c>
      <c r="C14" s="7">
        <v>456852.0</v>
      </c>
      <c r="D14" s="8">
        <v>67.123</v>
      </c>
      <c r="E14" s="8">
        <v>67.539</v>
      </c>
      <c r="F14" s="8">
        <v>71.36</v>
      </c>
      <c r="G14" s="8">
        <v>68.702</v>
      </c>
      <c r="H14" s="8">
        <v>72.606</v>
      </c>
      <c r="I14" s="8">
        <v>70.446</v>
      </c>
      <c r="J14" s="8">
        <v>71.36</v>
      </c>
      <c r="K14" s="9">
        <f t="shared" si="1"/>
        <v>72.606</v>
      </c>
      <c r="L14" s="7">
        <f t="shared" si="2"/>
        <v>2200</v>
      </c>
      <c r="M14" s="10">
        <v>23.0</v>
      </c>
      <c r="N14" s="11" t="s">
        <v>28</v>
      </c>
      <c r="O14" s="12" t="s">
        <v>30</v>
      </c>
    </row>
    <row r="15" ht="15.0" customHeight="1">
      <c r="A15" s="15">
        <v>9231.0</v>
      </c>
      <c r="B15" s="16" t="s">
        <v>31</v>
      </c>
      <c r="C15" s="7">
        <v>159636.0</v>
      </c>
      <c r="D15" s="8">
        <v>74.683</v>
      </c>
      <c r="E15" s="8">
        <v>72.689</v>
      </c>
      <c r="F15" s="8">
        <v>69.698</v>
      </c>
      <c r="G15" s="8">
        <v>67.455</v>
      </c>
      <c r="H15" s="8">
        <v>64.88</v>
      </c>
      <c r="I15" s="8">
        <v>62.72</v>
      </c>
      <c r="J15" s="8">
        <v>60.477</v>
      </c>
      <c r="K15" s="9">
        <f t="shared" si="1"/>
        <v>74.683</v>
      </c>
      <c r="L15" s="7">
        <f t="shared" si="2"/>
        <v>1800</v>
      </c>
      <c r="M15" s="10">
        <v>24.0</v>
      </c>
      <c r="N15" s="11" t="s">
        <v>28</v>
      </c>
      <c r="O15" s="12" t="s">
        <v>32</v>
      </c>
    </row>
    <row r="16" ht="15.0" customHeight="1">
      <c r="A16" s="15">
        <v>9232.0</v>
      </c>
      <c r="B16" s="16" t="s">
        <v>31</v>
      </c>
      <c r="C16" s="7">
        <v>264797.0</v>
      </c>
      <c r="D16" s="8">
        <v>69.034</v>
      </c>
      <c r="E16" s="8">
        <v>66.708</v>
      </c>
      <c r="F16" s="8">
        <v>67.622</v>
      </c>
      <c r="G16" s="8">
        <v>64.797</v>
      </c>
      <c r="H16" s="8">
        <v>62.637</v>
      </c>
      <c r="I16" s="8">
        <v>63.551</v>
      </c>
      <c r="J16" s="8">
        <v>65.046</v>
      </c>
      <c r="K16" s="9">
        <f t="shared" si="1"/>
        <v>69.034</v>
      </c>
      <c r="L16" s="7">
        <f t="shared" si="2"/>
        <v>1800</v>
      </c>
      <c r="M16" s="10">
        <v>23.0</v>
      </c>
      <c r="N16" s="11" t="s">
        <v>28</v>
      </c>
      <c r="O16" s="12" t="s">
        <v>33</v>
      </c>
    </row>
    <row r="17" ht="15.0" customHeight="1">
      <c r="A17" s="15">
        <v>9233.0</v>
      </c>
      <c r="B17" s="16" t="s">
        <v>31</v>
      </c>
      <c r="C17" s="7">
        <v>357159.0</v>
      </c>
      <c r="D17" s="8">
        <v>68.618</v>
      </c>
      <c r="E17" s="8">
        <v>69.449</v>
      </c>
      <c r="F17" s="8">
        <v>67.622</v>
      </c>
      <c r="G17" s="8">
        <v>64.88</v>
      </c>
      <c r="H17" s="8">
        <v>65.711</v>
      </c>
      <c r="I17" s="8">
        <v>66.625</v>
      </c>
      <c r="J17" s="8">
        <v>67.788</v>
      </c>
      <c r="K17" s="9">
        <f t="shared" si="1"/>
        <v>69.449</v>
      </c>
      <c r="L17" s="7">
        <f t="shared" si="2"/>
        <v>1900</v>
      </c>
      <c r="M17" s="10">
        <v>23.0</v>
      </c>
      <c r="N17" s="11" t="s">
        <v>28</v>
      </c>
      <c r="O17" s="12" t="s">
        <v>34</v>
      </c>
    </row>
    <row r="18" ht="15.0" customHeight="1">
      <c r="A18" s="15">
        <v>9234.0</v>
      </c>
      <c r="B18" s="16" t="s">
        <v>31</v>
      </c>
      <c r="C18" s="7">
        <v>753159.0</v>
      </c>
      <c r="D18" s="8">
        <v>71.36</v>
      </c>
      <c r="E18" s="8">
        <v>69.449</v>
      </c>
      <c r="F18" s="8">
        <v>69.948</v>
      </c>
      <c r="G18" s="8">
        <v>67.622</v>
      </c>
      <c r="H18" s="8">
        <v>65.545</v>
      </c>
      <c r="I18" s="8">
        <v>63.468</v>
      </c>
      <c r="J18" s="8">
        <v>66.874</v>
      </c>
      <c r="K18" s="9">
        <f t="shared" si="1"/>
        <v>71.36</v>
      </c>
      <c r="L18" s="7">
        <f t="shared" si="2"/>
        <v>1800</v>
      </c>
      <c r="M18" s="10">
        <v>23.0</v>
      </c>
      <c r="N18" s="11" t="s">
        <v>28</v>
      </c>
      <c r="O18" s="12" t="s">
        <v>35</v>
      </c>
    </row>
    <row r="19" ht="15.0" customHeight="1">
      <c r="A19" s="15">
        <v>9235.0</v>
      </c>
      <c r="B19" s="16" t="s">
        <v>31</v>
      </c>
      <c r="C19" s="7">
        <v>456852.0</v>
      </c>
      <c r="D19" s="8">
        <v>68.618</v>
      </c>
      <c r="E19" s="8">
        <v>65.379</v>
      </c>
      <c r="F19" s="8">
        <v>65.711</v>
      </c>
      <c r="G19" s="8">
        <v>62.72</v>
      </c>
      <c r="H19" s="8">
        <v>61.225</v>
      </c>
      <c r="I19" s="8">
        <v>58.816</v>
      </c>
      <c r="J19" s="8">
        <v>56.739</v>
      </c>
      <c r="K19" s="9">
        <f t="shared" si="1"/>
        <v>68.618</v>
      </c>
      <c r="L19" s="7">
        <f t="shared" si="2"/>
        <v>1800</v>
      </c>
      <c r="M19" s="10">
        <v>24.0</v>
      </c>
      <c r="N19" s="11" t="s">
        <v>28</v>
      </c>
      <c r="O19" s="12" t="s">
        <v>36</v>
      </c>
    </row>
    <row r="20" ht="15.0" customHeight="1">
      <c r="A20" s="17">
        <v>9221.0</v>
      </c>
      <c r="B20" s="18" t="s">
        <v>37</v>
      </c>
      <c r="C20" s="7">
        <v>159636.0</v>
      </c>
      <c r="D20" s="8">
        <v>77.424</v>
      </c>
      <c r="E20" s="8">
        <v>75.264</v>
      </c>
      <c r="F20" s="8">
        <v>76.178</v>
      </c>
      <c r="G20" s="8">
        <v>73.935</v>
      </c>
      <c r="H20" s="8">
        <v>74.6</v>
      </c>
      <c r="I20" s="8">
        <v>71.858</v>
      </c>
      <c r="J20" s="8">
        <v>69.366</v>
      </c>
      <c r="K20" s="9">
        <f t="shared" si="1"/>
        <v>77.424</v>
      </c>
      <c r="L20" s="7">
        <f t="shared" si="2"/>
        <v>1800</v>
      </c>
      <c r="M20" s="10">
        <v>18.0</v>
      </c>
      <c r="N20" s="11" t="s">
        <v>38</v>
      </c>
      <c r="O20" s="12" t="s">
        <v>39</v>
      </c>
    </row>
    <row r="21" ht="15.0" customHeight="1">
      <c r="A21" s="17">
        <v>9222.0</v>
      </c>
      <c r="B21" s="18" t="s">
        <v>37</v>
      </c>
      <c r="C21" s="7">
        <v>264797.0</v>
      </c>
      <c r="D21" s="8">
        <v>84.652</v>
      </c>
      <c r="E21" s="8">
        <v>82.326</v>
      </c>
      <c r="F21" s="8">
        <v>80.332</v>
      </c>
      <c r="G21" s="8">
        <v>78.006</v>
      </c>
      <c r="H21" s="8">
        <v>75.098</v>
      </c>
      <c r="I21" s="8">
        <v>72.274</v>
      </c>
      <c r="J21" s="8">
        <v>69.366</v>
      </c>
      <c r="K21" s="9">
        <f t="shared" si="1"/>
        <v>84.652</v>
      </c>
      <c r="L21" s="7">
        <f t="shared" si="2"/>
        <v>1800</v>
      </c>
      <c r="M21" s="10">
        <v>18.0</v>
      </c>
      <c r="N21" s="11" t="s">
        <v>38</v>
      </c>
      <c r="O21" s="12" t="s">
        <v>40</v>
      </c>
    </row>
    <row r="22" ht="15.0" customHeight="1">
      <c r="A22" s="17">
        <v>9223.0</v>
      </c>
      <c r="B22" s="18" t="s">
        <v>37</v>
      </c>
      <c r="C22" s="7">
        <v>357159.0</v>
      </c>
      <c r="D22" s="8">
        <v>80.581</v>
      </c>
      <c r="E22" s="8">
        <v>78.67</v>
      </c>
      <c r="F22" s="8">
        <v>79.75</v>
      </c>
      <c r="G22" s="8">
        <v>77.424</v>
      </c>
      <c r="H22" s="8">
        <v>78.421</v>
      </c>
      <c r="I22" s="8">
        <v>75.347</v>
      </c>
      <c r="J22" s="8">
        <v>76.344</v>
      </c>
      <c r="K22" s="9">
        <f t="shared" si="1"/>
        <v>80.581</v>
      </c>
      <c r="L22" s="7">
        <f t="shared" si="2"/>
        <v>1800</v>
      </c>
      <c r="M22" s="10">
        <v>18.0</v>
      </c>
      <c r="N22" s="11" t="s">
        <v>38</v>
      </c>
      <c r="O22" s="12" t="s">
        <v>41</v>
      </c>
    </row>
    <row r="23" ht="15.0" customHeight="1">
      <c r="A23" s="17">
        <v>9224.0</v>
      </c>
      <c r="B23" s="18" t="s">
        <v>37</v>
      </c>
      <c r="C23" s="7">
        <v>753159.0</v>
      </c>
      <c r="D23" s="8">
        <v>78.006</v>
      </c>
      <c r="E23" s="8">
        <v>75.846</v>
      </c>
      <c r="F23" s="8">
        <v>73.852</v>
      </c>
      <c r="G23" s="8">
        <v>71.028</v>
      </c>
      <c r="H23" s="8">
        <v>68.12</v>
      </c>
      <c r="I23" s="8">
        <v>65.129</v>
      </c>
      <c r="J23" s="8">
        <v>66.542</v>
      </c>
      <c r="K23" s="9">
        <f t="shared" si="1"/>
        <v>78.006</v>
      </c>
      <c r="L23" s="7">
        <f t="shared" si="2"/>
        <v>1800</v>
      </c>
      <c r="M23" s="10">
        <v>18.0</v>
      </c>
      <c r="N23" s="11" t="s">
        <v>38</v>
      </c>
      <c r="O23" s="12" t="s">
        <v>42</v>
      </c>
    </row>
    <row r="24" ht="15.0" customHeight="1">
      <c r="A24" s="17">
        <v>9225.0</v>
      </c>
      <c r="B24" s="18" t="s">
        <v>37</v>
      </c>
      <c r="C24" s="7">
        <v>456852.0</v>
      </c>
      <c r="D24" s="8">
        <v>67.788</v>
      </c>
      <c r="E24" s="8">
        <v>69.2</v>
      </c>
      <c r="F24" s="8">
        <v>73.52</v>
      </c>
      <c r="G24" s="8">
        <v>70.861</v>
      </c>
      <c r="H24" s="8">
        <v>68.951</v>
      </c>
      <c r="I24" s="8">
        <v>66.043</v>
      </c>
      <c r="J24" s="8">
        <v>66.708</v>
      </c>
      <c r="K24" s="9">
        <f t="shared" si="1"/>
        <v>73.52</v>
      </c>
      <c r="L24" s="7">
        <f t="shared" si="2"/>
        <v>2000</v>
      </c>
      <c r="M24" s="10">
        <v>17.0</v>
      </c>
      <c r="N24" s="11" t="s">
        <v>38</v>
      </c>
      <c r="O24" s="12" t="s">
        <v>43</v>
      </c>
    </row>
    <row r="25" ht="15.0" customHeight="1">
      <c r="A25" s="19">
        <v>9211.0</v>
      </c>
      <c r="B25" s="20" t="s">
        <v>44</v>
      </c>
      <c r="C25" s="7">
        <v>159636.0</v>
      </c>
      <c r="D25" s="8">
        <v>77.59</v>
      </c>
      <c r="E25" s="8">
        <v>81.993</v>
      </c>
      <c r="F25" s="8">
        <v>79.667</v>
      </c>
      <c r="G25" s="8">
        <v>77.424</v>
      </c>
      <c r="H25" s="8">
        <v>78.255</v>
      </c>
      <c r="I25" s="8">
        <v>76.012</v>
      </c>
      <c r="J25" s="8">
        <v>74.184</v>
      </c>
      <c r="K25" s="9">
        <f t="shared" si="1"/>
        <v>81.993</v>
      </c>
      <c r="L25" s="7">
        <f t="shared" si="2"/>
        <v>1900</v>
      </c>
      <c r="M25" s="10">
        <v>18.0</v>
      </c>
      <c r="N25" s="11" t="s">
        <v>38</v>
      </c>
      <c r="O25" s="12" t="s">
        <v>45</v>
      </c>
    </row>
    <row r="26" ht="15.0" customHeight="1">
      <c r="A26" s="19">
        <v>9212.0</v>
      </c>
      <c r="B26" s="20" t="s">
        <v>44</v>
      </c>
      <c r="C26" s="7">
        <v>264797.0</v>
      </c>
      <c r="D26" s="8">
        <v>87.393</v>
      </c>
      <c r="E26" s="8">
        <v>85.233</v>
      </c>
      <c r="F26" s="8">
        <v>83.073</v>
      </c>
      <c r="G26" s="8">
        <v>80.166</v>
      </c>
      <c r="H26" s="8">
        <v>81.329</v>
      </c>
      <c r="I26" s="8">
        <v>78.504</v>
      </c>
      <c r="J26" s="8">
        <v>76.51</v>
      </c>
      <c r="K26" s="9">
        <f t="shared" si="1"/>
        <v>87.393</v>
      </c>
      <c r="L26" s="7">
        <f t="shared" si="2"/>
        <v>1800</v>
      </c>
      <c r="M26" s="10">
        <v>18.0</v>
      </c>
      <c r="N26" s="11" t="s">
        <v>38</v>
      </c>
      <c r="O26" s="12" t="s">
        <v>46</v>
      </c>
    </row>
    <row r="27" ht="15.0" customHeight="1">
      <c r="A27" s="19">
        <v>9213.0</v>
      </c>
      <c r="B27" s="20" t="s">
        <v>44</v>
      </c>
      <c r="C27" s="7">
        <v>357159.0</v>
      </c>
      <c r="D27" s="8">
        <v>83.738</v>
      </c>
      <c r="E27" s="8">
        <v>87.809</v>
      </c>
      <c r="F27" s="8">
        <v>85.898</v>
      </c>
      <c r="G27" s="8">
        <v>83.572</v>
      </c>
      <c r="H27" s="8">
        <v>82.243</v>
      </c>
      <c r="I27" s="8">
        <v>83.073</v>
      </c>
      <c r="J27" s="8">
        <v>80.415</v>
      </c>
      <c r="K27" s="9">
        <f t="shared" si="1"/>
        <v>87.809</v>
      </c>
      <c r="L27" s="7">
        <f t="shared" si="2"/>
        <v>1900</v>
      </c>
      <c r="M27" s="10">
        <v>18.0</v>
      </c>
      <c r="N27" s="11" t="s">
        <v>38</v>
      </c>
      <c r="O27" s="12" t="s">
        <v>47</v>
      </c>
    </row>
    <row r="28" ht="15.0" customHeight="1">
      <c r="A28" s="19">
        <v>9214.0</v>
      </c>
      <c r="B28" s="20" t="s">
        <v>44</v>
      </c>
      <c r="C28" s="7">
        <v>753159.0</v>
      </c>
      <c r="D28" s="8">
        <v>87.725</v>
      </c>
      <c r="E28" s="8">
        <v>88.307</v>
      </c>
      <c r="F28" s="8">
        <v>86.313</v>
      </c>
      <c r="G28" s="8">
        <v>84.319</v>
      </c>
      <c r="H28" s="8">
        <v>82.16</v>
      </c>
      <c r="I28" s="8">
        <v>79.418</v>
      </c>
      <c r="J28" s="8">
        <v>76.344</v>
      </c>
      <c r="K28" s="9">
        <f t="shared" si="1"/>
        <v>88.307</v>
      </c>
      <c r="L28" s="7">
        <f t="shared" si="2"/>
        <v>1900</v>
      </c>
      <c r="M28" s="10">
        <v>18.0</v>
      </c>
      <c r="N28" s="11" t="s">
        <v>38</v>
      </c>
      <c r="O28" s="12" t="s">
        <v>48</v>
      </c>
    </row>
    <row r="29" ht="15.0" customHeight="1">
      <c r="A29" s="19">
        <v>9215.0</v>
      </c>
      <c r="B29" s="20" t="s">
        <v>44</v>
      </c>
      <c r="C29" s="7">
        <v>456852.0</v>
      </c>
      <c r="D29" s="8">
        <v>81.163</v>
      </c>
      <c r="E29" s="8">
        <v>78.92</v>
      </c>
      <c r="F29" s="8">
        <v>76.427</v>
      </c>
      <c r="G29" s="8">
        <v>77.757</v>
      </c>
      <c r="H29" s="8">
        <v>78.753</v>
      </c>
      <c r="I29" s="8">
        <v>76.261</v>
      </c>
      <c r="J29" s="8">
        <v>74.101</v>
      </c>
      <c r="K29" s="9">
        <f t="shared" si="1"/>
        <v>81.163</v>
      </c>
      <c r="L29" s="7">
        <f t="shared" si="2"/>
        <v>1800</v>
      </c>
      <c r="M29" s="10">
        <v>18.0</v>
      </c>
      <c r="N29" s="11" t="s">
        <v>38</v>
      </c>
      <c r="O29" s="12" t="s">
        <v>49</v>
      </c>
    </row>
    <row r="30" ht="15.0" customHeight="1">
      <c r="A30" s="21">
        <v>9261.0</v>
      </c>
      <c r="B30" s="22" t="s">
        <v>50</v>
      </c>
      <c r="C30" s="23">
        <v>264797.0</v>
      </c>
      <c r="D30" s="8">
        <v>74.932</v>
      </c>
      <c r="E30" s="8">
        <v>76.594</v>
      </c>
      <c r="F30" s="8">
        <v>77.009</v>
      </c>
      <c r="G30" s="8">
        <v>74.268</v>
      </c>
      <c r="H30" s="8">
        <v>74.932</v>
      </c>
      <c r="I30" s="8">
        <v>79.501</v>
      </c>
      <c r="J30" s="8">
        <v>76.843</v>
      </c>
      <c r="K30" s="9">
        <f t="shared" si="1"/>
        <v>79.501</v>
      </c>
      <c r="L30" s="23">
        <f t="shared" si="2"/>
        <v>2300</v>
      </c>
      <c r="M30" s="23">
        <v>15.0</v>
      </c>
      <c r="N30" s="24" t="s">
        <v>38</v>
      </c>
      <c r="O30" s="25" t="s">
        <v>51</v>
      </c>
    </row>
    <row r="31" ht="15.0" customHeight="1">
      <c r="A31" s="21">
        <v>9262.0</v>
      </c>
      <c r="B31" s="22" t="s">
        <v>50</v>
      </c>
      <c r="C31" s="23">
        <v>357159.0</v>
      </c>
      <c r="D31" s="8">
        <v>77.175</v>
      </c>
      <c r="E31" s="8">
        <v>74.517</v>
      </c>
      <c r="F31" s="8">
        <v>75.514</v>
      </c>
      <c r="G31" s="8">
        <v>73.603</v>
      </c>
      <c r="H31" s="8">
        <v>70.945</v>
      </c>
      <c r="I31" s="8">
        <v>72.523</v>
      </c>
      <c r="J31" s="8">
        <v>70.28</v>
      </c>
      <c r="K31" s="9">
        <f t="shared" si="1"/>
        <v>77.175</v>
      </c>
      <c r="L31" s="23">
        <f t="shared" si="2"/>
        <v>1800</v>
      </c>
      <c r="M31" s="23">
        <v>17.0</v>
      </c>
      <c r="N31" s="24" t="s">
        <v>38</v>
      </c>
      <c r="O31" s="25" t="s">
        <v>52</v>
      </c>
    </row>
    <row r="32" ht="15.0" customHeight="1">
      <c r="A32" s="21">
        <v>9263.0</v>
      </c>
      <c r="B32" s="22" t="s">
        <v>50</v>
      </c>
      <c r="C32" s="23">
        <v>753159.0</v>
      </c>
      <c r="D32" s="8"/>
      <c r="E32" s="8"/>
      <c r="F32" s="8"/>
      <c r="G32" s="8"/>
      <c r="H32" s="8"/>
      <c r="I32" s="8"/>
      <c r="J32" s="8"/>
      <c r="K32" s="9" t="str">
        <f t="shared" si="1"/>
        <v/>
      </c>
      <c r="L32" s="23" t="str">
        <f t="shared" si="2"/>
        <v/>
      </c>
      <c r="M32" s="23"/>
      <c r="N32" s="24"/>
      <c r="O32" s="26" t="s">
        <v>53</v>
      </c>
    </row>
    <row r="33" ht="15.0" customHeight="1">
      <c r="A33" s="21">
        <v>9264.0</v>
      </c>
      <c r="B33" s="22" t="s">
        <v>50</v>
      </c>
      <c r="C33" s="23">
        <v>159636.0</v>
      </c>
      <c r="D33" s="8"/>
      <c r="E33" s="8"/>
      <c r="F33" s="8"/>
      <c r="G33" s="8"/>
      <c r="H33" s="8"/>
      <c r="I33" s="8"/>
      <c r="J33" s="8"/>
      <c r="K33" s="9" t="str">
        <f t="shared" si="1"/>
        <v/>
      </c>
      <c r="L33" s="23" t="str">
        <f t="shared" si="2"/>
        <v/>
      </c>
      <c r="M33" s="23"/>
      <c r="N33" s="24"/>
      <c r="O33" s="26" t="s">
        <v>53</v>
      </c>
    </row>
    <row r="34" ht="15.0" customHeight="1">
      <c r="A34" s="21">
        <v>9265.0</v>
      </c>
      <c r="B34" s="22" t="s">
        <v>50</v>
      </c>
      <c r="C34" s="23">
        <v>456852.0</v>
      </c>
      <c r="D34" s="8"/>
      <c r="E34" s="8"/>
      <c r="F34" s="8"/>
      <c r="G34" s="8"/>
      <c r="H34" s="8"/>
      <c r="I34" s="8"/>
      <c r="J34" s="8"/>
      <c r="K34" s="9" t="str">
        <f t="shared" si="1"/>
        <v/>
      </c>
      <c r="L34" s="23" t="str">
        <f t="shared" si="2"/>
        <v/>
      </c>
      <c r="M34" s="23"/>
      <c r="N34" s="24"/>
      <c r="O34" s="26" t="s">
        <v>53</v>
      </c>
    </row>
    <row r="35" ht="15.0" customHeight="1">
      <c r="A35" s="27" t="s">
        <v>54</v>
      </c>
      <c r="B35" s="2"/>
      <c r="C35" s="28"/>
      <c r="D35" s="29"/>
      <c r="E35" s="29"/>
      <c r="F35" s="29"/>
      <c r="G35" s="29"/>
      <c r="H35" s="29"/>
      <c r="I35" s="29"/>
      <c r="J35" s="29"/>
      <c r="K35" s="29"/>
      <c r="L35" s="28"/>
      <c r="M35" s="28"/>
      <c r="N35" s="2"/>
      <c r="O35" s="30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dataValidations>
    <dataValidation type="list" allowBlank="1" showDropDown="1" showErrorMessage="1" sqref="B5:B35">
      <formula1>"V0_baseline,V4_augment,V3_rotacion,V2_pca90,V1_pca80,V6_pca70"</formula1>
    </dataValidation>
    <dataValidation type="custom" allowBlank="1" showDropDown="1" sqref="A5:A35 C5:M35">
      <formula1>AND(ISNUMBER(A5),(NOT(OR(NOT(ISERROR(DATEVALUE(A5))), AND(ISNUMBER(A5), LEFT(CELL("format", A5))="D")))))</formula1>
    </dataValidation>
    <dataValidation type="list" allowBlank="1" showDropDown="1" showErrorMessage="1" sqref="N5:N35">
      <formula1>"2026-07-11,2026-07-12,2026-07-13"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9.0"/>
    <col customWidth="1" min="4" max="10" width="8.0"/>
    <col customWidth="1" min="11" max="11" width="13.0"/>
    <col customWidth="1" min="12" max="12" width="11.0"/>
    <col customWidth="1" min="13" max="13" width="13.0"/>
    <col customWidth="1" min="14" max="14" width="11.0"/>
    <col customWidth="1" min="15" max="15" width="42.0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0" customHeight="1">
      <c r="A4" s="31" t="s">
        <v>2</v>
      </c>
      <c r="B4" s="31" t="s">
        <v>3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15</v>
      </c>
      <c r="O4" s="31" t="s">
        <v>16</v>
      </c>
    </row>
    <row r="5" ht="15.0" customHeight="1">
      <c r="A5" s="32">
        <v>9201.0</v>
      </c>
      <c r="B5" s="6" t="s">
        <v>17</v>
      </c>
      <c r="C5" s="33">
        <v>263167.0</v>
      </c>
      <c r="D5" s="34">
        <v>66874.0</v>
      </c>
      <c r="E5" s="34">
        <v>67788.0</v>
      </c>
      <c r="F5" s="34">
        <v>72108.0</v>
      </c>
      <c r="G5" s="34">
        <v>69948.0</v>
      </c>
      <c r="H5" s="34">
        <v>70945.0</v>
      </c>
      <c r="I5" s="34">
        <v>68369.0</v>
      </c>
      <c r="J5" s="34">
        <v>65296.0</v>
      </c>
      <c r="K5" s="35">
        <f t="shared" ref="K5:K34" si="1">IF(COUNT(D5:J5)=0,"",MAX(D5:J5))</f>
        <v>72108</v>
      </c>
      <c r="L5" s="36">
        <f t="shared" ref="L5:L34" si="2">IF(COUNT(D5:J5)=0,"",INDEX($D$4:$J$4,MATCH(MAX(D5:J5),D5:J5,0))+0)</f>
        <v>2000</v>
      </c>
      <c r="M5" s="37">
        <v>19.0</v>
      </c>
      <c r="N5" s="38">
        <v>46220.0</v>
      </c>
      <c r="O5" s="11"/>
    </row>
    <row r="6" ht="15.0" customHeight="1">
      <c r="A6" s="32">
        <v>9202.0</v>
      </c>
      <c r="B6" s="6" t="s">
        <v>17</v>
      </c>
      <c r="C6" s="33">
        <v>808481.0</v>
      </c>
      <c r="D6" s="34">
        <v>70197.0</v>
      </c>
      <c r="E6" s="34">
        <v>67622.0</v>
      </c>
      <c r="F6" s="34">
        <v>64880.0</v>
      </c>
      <c r="G6" s="34">
        <v>62969.0</v>
      </c>
      <c r="H6" s="34">
        <v>60311.0</v>
      </c>
      <c r="I6" s="34">
        <v>60976.0</v>
      </c>
      <c r="J6" s="34">
        <v>58483.0</v>
      </c>
      <c r="K6" s="35">
        <f t="shared" si="1"/>
        <v>70197</v>
      </c>
      <c r="L6" s="36">
        <f t="shared" si="2"/>
        <v>1800</v>
      </c>
      <c r="M6" s="37">
        <v>17.0</v>
      </c>
      <c r="N6" s="38">
        <v>46220.0</v>
      </c>
      <c r="O6" s="11" t="s">
        <v>20</v>
      </c>
    </row>
    <row r="7" ht="15.0" customHeight="1">
      <c r="A7" s="32">
        <v>9203.0</v>
      </c>
      <c r="B7" s="6" t="s">
        <v>17</v>
      </c>
      <c r="C7" s="33">
        <v>104759.0</v>
      </c>
      <c r="D7" s="34">
        <v>73686.0</v>
      </c>
      <c r="E7" s="34">
        <v>74101.0</v>
      </c>
      <c r="F7" s="34">
        <v>71360.0</v>
      </c>
      <c r="G7" s="34">
        <v>68868.0</v>
      </c>
      <c r="H7" s="34">
        <v>69366.0</v>
      </c>
      <c r="I7" s="34">
        <v>66791.0</v>
      </c>
      <c r="J7" s="34">
        <v>64714.0</v>
      </c>
      <c r="K7" s="35">
        <f t="shared" si="1"/>
        <v>74101</v>
      </c>
      <c r="L7" s="36">
        <f t="shared" si="2"/>
        <v>1900</v>
      </c>
      <c r="M7" s="11">
        <v>17.0</v>
      </c>
      <c r="N7" s="38">
        <v>46220.0</v>
      </c>
      <c r="O7" s="37" t="s">
        <v>55</v>
      </c>
    </row>
    <row r="8" ht="15.0" customHeight="1">
      <c r="A8" s="32">
        <v>9204.0</v>
      </c>
      <c r="B8" s="6" t="s">
        <v>17</v>
      </c>
      <c r="C8" s="33">
        <v>130073.0</v>
      </c>
      <c r="D8" s="34">
        <v>67040.0</v>
      </c>
      <c r="E8" s="34">
        <v>67289.0</v>
      </c>
      <c r="F8" s="34">
        <v>67871.0</v>
      </c>
      <c r="G8" s="34">
        <v>69117.0</v>
      </c>
      <c r="H8" s="34">
        <v>67705.0</v>
      </c>
      <c r="I8" s="34">
        <v>68452.0</v>
      </c>
      <c r="J8" s="34">
        <v>65960.0</v>
      </c>
      <c r="K8" s="35">
        <f t="shared" si="1"/>
        <v>69117</v>
      </c>
      <c r="L8" s="36">
        <f t="shared" si="2"/>
        <v>2100</v>
      </c>
      <c r="M8" s="37">
        <v>17.0</v>
      </c>
      <c r="N8" s="38">
        <v>46220.0</v>
      </c>
      <c r="O8" s="37" t="s">
        <v>56</v>
      </c>
    </row>
    <row r="9" ht="15.0" customHeight="1">
      <c r="A9" s="32">
        <v>9205.0</v>
      </c>
      <c r="B9" s="6" t="s">
        <v>17</v>
      </c>
      <c r="C9" s="33">
        <v>200171.0</v>
      </c>
      <c r="D9" s="34">
        <v>72772.0</v>
      </c>
      <c r="E9" s="34">
        <v>70114.0</v>
      </c>
      <c r="F9" s="34">
        <v>67539.0</v>
      </c>
      <c r="G9" s="34">
        <v>65212.0</v>
      </c>
      <c r="H9" s="34">
        <v>65628.0</v>
      </c>
      <c r="I9" s="34">
        <v>63136.0</v>
      </c>
      <c r="J9" s="34">
        <v>61225.0</v>
      </c>
      <c r="K9" s="35">
        <f t="shared" si="1"/>
        <v>72772</v>
      </c>
      <c r="L9" s="36">
        <f t="shared" si="2"/>
        <v>1800</v>
      </c>
      <c r="M9" s="11">
        <v>17.0</v>
      </c>
      <c r="N9" s="38">
        <v>46220.0</v>
      </c>
      <c r="O9" s="11" t="s">
        <v>20</v>
      </c>
    </row>
    <row r="10" ht="15.0" customHeight="1">
      <c r="A10" s="39">
        <v>9271.0</v>
      </c>
      <c r="B10" s="14" t="s">
        <v>24</v>
      </c>
      <c r="C10" s="33">
        <v>263167.0</v>
      </c>
      <c r="D10" s="34">
        <v>75347.0</v>
      </c>
      <c r="E10" s="34">
        <v>72440.0</v>
      </c>
      <c r="F10" s="34">
        <v>69865.0</v>
      </c>
      <c r="G10" s="34">
        <v>67705.0</v>
      </c>
      <c r="H10" s="34">
        <v>68618.0</v>
      </c>
      <c r="I10" s="34">
        <v>65794.0</v>
      </c>
      <c r="J10" s="34">
        <v>66542.0</v>
      </c>
      <c r="K10" s="35">
        <f t="shared" si="1"/>
        <v>75347</v>
      </c>
      <c r="L10" s="36">
        <f t="shared" si="2"/>
        <v>1800</v>
      </c>
      <c r="M10" s="37">
        <v>30.0</v>
      </c>
      <c r="N10" s="38">
        <v>46221.0</v>
      </c>
      <c r="O10" s="37" t="s">
        <v>57</v>
      </c>
    </row>
    <row r="11" ht="15.0" customHeight="1">
      <c r="A11" s="39">
        <v>9272.0</v>
      </c>
      <c r="B11" s="14" t="s">
        <v>24</v>
      </c>
      <c r="C11" s="33">
        <v>808481.0</v>
      </c>
      <c r="D11" s="34">
        <v>70280.0</v>
      </c>
      <c r="E11" s="34">
        <v>71111.0</v>
      </c>
      <c r="F11" s="34">
        <v>68618.0</v>
      </c>
      <c r="G11" s="34">
        <v>65877.0</v>
      </c>
      <c r="H11" s="34">
        <v>66542.0</v>
      </c>
      <c r="I11" s="34">
        <v>63883.0</v>
      </c>
      <c r="J11" s="34">
        <v>61640.0</v>
      </c>
      <c r="K11" s="35">
        <f t="shared" si="1"/>
        <v>71111</v>
      </c>
      <c r="L11" s="36">
        <f t="shared" si="2"/>
        <v>1900</v>
      </c>
      <c r="M11" s="37">
        <v>24.0</v>
      </c>
      <c r="N11" s="38">
        <v>46221.0</v>
      </c>
      <c r="O11" s="37" t="s">
        <v>58</v>
      </c>
    </row>
    <row r="12" ht="15.0" customHeight="1">
      <c r="A12" s="39">
        <v>9273.0</v>
      </c>
      <c r="B12" s="14" t="s">
        <v>24</v>
      </c>
      <c r="C12" s="33">
        <v>104759.0</v>
      </c>
      <c r="D12" s="34">
        <v>72938.0</v>
      </c>
      <c r="E12" s="34">
        <v>70612.0</v>
      </c>
      <c r="F12" s="34">
        <v>71360.0</v>
      </c>
      <c r="G12" s="34">
        <v>72440.0</v>
      </c>
      <c r="H12" s="34">
        <v>69532.0</v>
      </c>
      <c r="I12" s="34">
        <v>67289.0</v>
      </c>
      <c r="J12" s="34">
        <v>67954.0</v>
      </c>
      <c r="K12" s="35">
        <f t="shared" si="1"/>
        <v>72938</v>
      </c>
      <c r="L12" s="36">
        <f t="shared" si="2"/>
        <v>1800</v>
      </c>
      <c r="M12" s="37">
        <v>25.0</v>
      </c>
      <c r="N12" s="38">
        <v>46221.0</v>
      </c>
      <c r="O12" s="37" t="s">
        <v>59</v>
      </c>
    </row>
    <row r="13" ht="15.0" customHeight="1">
      <c r="A13" s="39">
        <v>9274.0</v>
      </c>
      <c r="B13" s="14" t="s">
        <v>24</v>
      </c>
      <c r="C13" s="33">
        <v>130073.0</v>
      </c>
      <c r="D13" s="34">
        <v>73354.0</v>
      </c>
      <c r="E13" s="34">
        <v>73603.0</v>
      </c>
      <c r="F13" s="34">
        <v>71111.0</v>
      </c>
      <c r="G13" s="34">
        <v>68286.0</v>
      </c>
      <c r="H13" s="34">
        <v>69200.0</v>
      </c>
      <c r="I13" s="34">
        <v>70446.0</v>
      </c>
      <c r="J13" s="34">
        <v>68369.0</v>
      </c>
      <c r="K13" s="35">
        <f t="shared" si="1"/>
        <v>73603</v>
      </c>
      <c r="L13" s="36">
        <f t="shared" si="2"/>
        <v>1900</v>
      </c>
      <c r="M13" s="37">
        <v>25.0</v>
      </c>
      <c r="N13" s="38">
        <v>46221.0</v>
      </c>
      <c r="O13" s="37"/>
    </row>
    <row r="14" ht="15.0" customHeight="1">
      <c r="A14" s="39">
        <v>9275.0</v>
      </c>
      <c r="B14" s="14" t="s">
        <v>24</v>
      </c>
      <c r="C14" s="33">
        <v>200171.0</v>
      </c>
      <c r="D14" s="34">
        <v>69698.0</v>
      </c>
      <c r="E14" s="34">
        <v>66542.0</v>
      </c>
      <c r="F14" s="34">
        <v>64299.0</v>
      </c>
      <c r="G14" s="34">
        <v>62388.0</v>
      </c>
      <c r="H14" s="34">
        <v>59813.0</v>
      </c>
      <c r="I14" s="34">
        <v>66874.0</v>
      </c>
      <c r="J14" s="34">
        <v>63966.0</v>
      </c>
      <c r="K14" s="35">
        <f t="shared" si="1"/>
        <v>69698</v>
      </c>
      <c r="L14" s="36">
        <f t="shared" si="2"/>
        <v>1800</v>
      </c>
      <c r="M14" s="37">
        <v>24.0</v>
      </c>
      <c r="N14" s="38">
        <v>46221.0</v>
      </c>
      <c r="O14" s="37" t="s">
        <v>60</v>
      </c>
    </row>
    <row r="15" ht="15.0" customHeight="1">
      <c r="A15" s="40">
        <v>9311.0</v>
      </c>
      <c r="B15" s="16" t="s">
        <v>31</v>
      </c>
      <c r="C15" s="33">
        <v>263167.0</v>
      </c>
      <c r="D15" s="34">
        <v>75264.0</v>
      </c>
      <c r="E15" s="34">
        <v>73021.0</v>
      </c>
      <c r="F15" s="34">
        <v>70446.0</v>
      </c>
      <c r="G15" s="34">
        <v>67954.0</v>
      </c>
      <c r="H15" s="34">
        <v>65545.0</v>
      </c>
      <c r="I15" s="34">
        <v>66375.0</v>
      </c>
      <c r="J15" s="34">
        <v>67539.0</v>
      </c>
      <c r="K15" s="35">
        <f t="shared" si="1"/>
        <v>75264</v>
      </c>
      <c r="L15" s="36">
        <f t="shared" si="2"/>
        <v>1800</v>
      </c>
      <c r="M15" s="11">
        <v>24.0</v>
      </c>
      <c r="N15" s="38">
        <v>46220.0</v>
      </c>
      <c r="O15" s="37" t="s">
        <v>61</v>
      </c>
    </row>
    <row r="16" ht="15.0" customHeight="1">
      <c r="A16" s="40">
        <v>9222.0</v>
      </c>
      <c r="B16" s="16" t="s">
        <v>31</v>
      </c>
      <c r="C16" s="33">
        <v>808481.0</v>
      </c>
      <c r="D16" s="34">
        <v>71941.0</v>
      </c>
      <c r="E16" s="34">
        <v>69865.0</v>
      </c>
      <c r="F16" s="34">
        <v>68120.0</v>
      </c>
      <c r="G16" s="34">
        <v>68785.0</v>
      </c>
      <c r="H16" s="34">
        <v>66292.0</v>
      </c>
      <c r="I16" s="34">
        <v>67123.0</v>
      </c>
      <c r="J16" s="34">
        <v>64631.0</v>
      </c>
      <c r="K16" s="35">
        <f t="shared" si="1"/>
        <v>71941</v>
      </c>
      <c r="L16" s="36">
        <f t="shared" si="2"/>
        <v>1800</v>
      </c>
      <c r="M16" s="37">
        <v>26.0</v>
      </c>
      <c r="N16" s="38">
        <v>46220.0</v>
      </c>
      <c r="O16" s="37" t="s">
        <v>62</v>
      </c>
    </row>
    <row r="17" ht="15.0" customHeight="1">
      <c r="A17" s="40">
        <v>9223.0</v>
      </c>
      <c r="B17" s="16" t="s">
        <v>31</v>
      </c>
      <c r="C17" s="33">
        <v>104759.0</v>
      </c>
      <c r="D17" s="34">
        <v>71775.0</v>
      </c>
      <c r="E17" s="34">
        <v>69366.0</v>
      </c>
      <c r="F17" s="34">
        <v>69532.0</v>
      </c>
      <c r="G17" s="34">
        <v>67372.0</v>
      </c>
      <c r="H17" s="34">
        <v>67455.0</v>
      </c>
      <c r="I17" s="34">
        <v>65212.0</v>
      </c>
      <c r="J17" s="34">
        <v>63551.0</v>
      </c>
      <c r="K17" s="35">
        <f t="shared" si="1"/>
        <v>71775</v>
      </c>
      <c r="L17" s="36">
        <f t="shared" si="2"/>
        <v>1800</v>
      </c>
      <c r="M17" s="11">
        <v>23.0</v>
      </c>
      <c r="N17" s="38">
        <v>46220.0</v>
      </c>
      <c r="O17" s="37" t="s">
        <v>63</v>
      </c>
    </row>
    <row r="18" ht="15.0" customHeight="1">
      <c r="A18" s="40">
        <v>9224.0</v>
      </c>
      <c r="B18" s="16" t="s">
        <v>31</v>
      </c>
      <c r="C18" s="33">
        <v>130073.0</v>
      </c>
      <c r="D18" s="34">
        <v>70031.0</v>
      </c>
      <c r="E18" s="34">
        <v>67954.0</v>
      </c>
      <c r="F18" s="34">
        <v>65877.0</v>
      </c>
      <c r="G18" s="34">
        <v>66625.0</v>
      </c>
      <c r="H18" s="34">
        <v>67705.0</v>
      </c>
      <c r="I18" s="34">
        <v>65379.0</v>
      </c>
      <c r="J18" s="34">
        <v>66126.0</v>
      </c>
      <c r="K18" s="35">
        <f t="shared" si="1"/>
        <v>70031</v>
      </c>
      <c r="L18" s="36">
        <f t="shared" si="2"/>
        <v>1800</v>
      </c>
      <c r="M18" s="37">
        <v>27.0</v>
      </c>
      <c r="N18" s="38">
        <v>46220.0</v>
      </c>
      <c r="O18" s="37" t="s">
        <v>64</v>
      </c>
    </row>
    <row r="19" ht="15.0" customHeight="1">
      <c r="A19" s="40">
        <v>9225.0</v>
      </c>
      <c r="B19" s="16" t="s">
        <v>31</v>
      </c>
      <c r="C19" s="33">
        <v>200171.0</v>
      </c>
      <c r="D19" s="34">
        <v>68203.0</v>
      </c>
      <c r="E19" s="34">
        <v>72606.0</v>
      </c>
      <c r="F19" s="34">
        <v>70529.0</v>
      </c>
      <c r="G19" s="34">
        <v>70945.0</v>
      </c>
      <c r="H19" s="34">
        <v>67871.0</v>
      </c>
      <c r="I19" s="34">
        <v>65379.0</v>
      </c>
      <c r="J19" s="34">
        <v>63219.0</v>
      </c>
      <c r="K19" s="35">
        <f t="shared" si="1"/>
        <v>72606</v>
      </c>
      <c r="L19" s="36">
        <f t="shared" si="2"/>
        <v>1900</v>
      </c>
      <c r="M19" s="37">
        <v>27.0</v>
      </c>
      <c r="N19" s="38">
        <v>46221.0</v>
      </c>
      <c r="O19" s="37" t="s">
        <v>65</v>
      </c>
    </row>
    <row r="20" ht="15.0" customHeight="1">
      <c r="A20" s="41">
        <v>9411.0</v>
      </c>
      <c r="B20" s="18" t="s">
        <v>37</v>
      </c>
      <c r="C20" s="33">
        <v>263167.0</v>
      </c>
      <c r="D20" s="34">
        <v>80913.0</v>
      </c>
      <c r="E20" s="34">
        <v>78587.0</v>
      </c>
      <c r="F20" s="34">
        <v>76926.0</v>
      </c>
      <c r="G20" s="34">
        <v>74600.0</v>
      </c>
      <c r="H20" s="34">
        <v>71775.0</v>
      </c>
      <c r="I20" s="34">
        <v>71941.0</v>
      </c>
      <c r="J20" s="34">
        <v>70031.0</v>
      </c>
      <c r="K20" s="35">
        <f t="shared" si="1"/>
        <v>80913</v>
      </c>
      <c r="L20" s="36">
        <f t="shared" si="2"/>
        <v>1800</v>
      </c>
      <c r="M20" s="37">
        <v>20.0</v>
      </c>
      <c r="N20" s="38">
        <v>46221.0</v>
      </c>
      <c r="O20" s="37" t="s">
        <v>66</v>
      </c>
    </row>
    <row r="21" ht="15.0" customHeight="1">
      <c r="A21" s="41">
        <v>9232.0</v>
      </c>
      <c r="B21" s="18" t="s">
        <v>37</v>
      </c>
      <c r="C21" s="33">
        <v>808481.0</v>
      </c>
      <c r="D21" s="34">
        <v>77923.0</v>
      </c>
      <c r="E21" s="34">
        <v>79169.0</v>
      </c>
      <c r="F21" s="34">
        <v>76344.0</v>
      </c>
      <c r="G21" s="34">
        <v>77424.0</v>
      </c>
      <c r="H21" s="34">
        <v>74600.0</v>
      </c>
      <c r="I21" s="34">
        <v>72025.0</v>
      </c>
      <c r="J21" s="34">
        <v>72440.0</v>
      </c>
      <c r="K21" s="35">
        <f t="shared" si="1"/>
        <v>79169</v>
      </c>
      <c r="L21" s="36">
        <f t="shared" si="2"/>
        <v>1900</v>
      </c>
      <c r="M21" s="37">
        <v>20.0</v>
      </c>
      <c r="N21" s="38">
        <v>46221.0</v>
      </c>
      <c r="O21" s="37" t="s">
        <v>67</v>
      </c>
    </row>
    <row r="22" ht="15.0" customHeight="1">
      <c r="A22" s="41">
        <v>9233.0</v>
      </c>
      <c r="B22" s="18" t="s">
        <v>37</v>
      </c>
      <c r="C22" s="33">
        <v>104759.0</v>
      </c>
      <c r="D22" s="34">
        <v>81910.0</v>
      </c>
      <c r="E22" s="34">
        <v>79501.0</v>
      </c>
      <c r="F22" s="34">
        <v>79501.0</v>
      </c>
      <c r="G22" s="34">
        <v>77424.0</v>
      </c>
      <c r="H22" s="34">
        <v>75264.0</v>
      </c>
      <c r="I22" s="34">
        <v>72357.0</v>
      </c>
      <c r="J22" s="34">
        <v>70280.0</v>
      </c>
      <c r="K22" s="35">
        <f t="shared" si="1"/>
        <v>81910</v>
      </c>
      <c r="L22" s="36">
        <f t="shared" si="2"/>
        <v>1800</v>
      </c>
      <c r="M22" s="37">
        <v>19.0</v>
      </c>
      <c r="N22" s="38">
        <v>46221.0</v>
      </c>
      <c r="O22" s="37" t="s">
        <v>68</v>
      </c>
    </row>
    <row r="23" ht="15.0" customHeight="1">
      <c r="A23" s="41">
        <v>9234.0</v>
      </c>
      <c r="B23" s="18" t="s">
        <v>37</v>
      </c>
      <c r="C23" s="33">
        <v>130073.0</v>
      </c>
      <c r="D23" s="34">
        <v>71775.0</v>
      </c>
      <c r="E23" s="34">
        <v>75929.0</v>
      </c>
      <c r="F23" s="34">
        <v>73935.0</v>
      </c>
      <c r="G23" s="34">
        <v>74849.0</v>
      </c>
      <c r="H23" s="34">
        <v>72855.0</v>
      </c>
      <c r="I23" s="34">
        <v>73686.0</v>
      </c>
      <c r="J23" s="34">
        <v>70861.0</v>
      </c>
      <c r="K23" s="35">
        <f t="shared" si="1"/>
        <v>75929</v>
      </c>
      <c r="L23" s="36">
        <f t="shared" si="2"/>
        <v>1900</v>
      </c>
      <c r="M23" s="37">
        <v>20.0</v>
      </c>
      <c r="N23" s="38">
        <v>46221.0</v>
      </c>
      <c r="O23" s="37" t="s">
        <v>69</v>
      </c>
    </row>
    <row r="24" ht="15.0" customHeight="1">
      <c r="A24" s="41">
        <v>9235.0</v>
      </c>
      <c r="B24" s="18" t="s">
        <v>37</v>
      </c>
      <c r="C24" s="33">
        <v>200171.0</v>
      </c>
      <c r="D24" s="34">
        <v>75264.0</v>
      </c>
      <c r="E24" s="34">
        <v>82575.0</v>
      </c>
      <c r="F24" s="34">
        <v>80000.0</v>
      </c>
      <c r="G24" s="34">
        <v>77674.0</v>
      </c>
      <c r="H24" s="34">
        <v>75929.0</v>
      </c>
      <c r="I24" s="34">
        <v>74101.0</v>
      </c>
      <c r="J24" s="34">
        <v>71111.0</v>
      </c>
      <c r="K24" s="35">
        <f t="shared" si="1"/>
        <v>82575</v>
      </c>
      <c r="L24" s="36">
        <f t="shared" si="2"/>
        <v>1900</v>
      </c>
      <c r="M24" s="37">
        <v>21.0</v>
      </c>
      <c r="N24" s="38">
        <v>46221.0</v>
      </c>
      <c r="O24" s="11" t="s">
        <v>43</v>
      </c>
    </row>
    <row r="25" ht="15.0" customHeight="1">
      <c r="A25" s="42">
        <v>9211.0</v>
      </c>
      <c r="B25" s="20" t="s">
        <v>44</v>
      </c>
      <c r="C25" s="33">
        <v>263167.0</v>
      </c>
      <c r="D25" s="34">
        <v>91547.0</v>
      </c>
      <c r="E25" s="34">
        <v>88889.0</v>
      </c>
      <c r="F25" s="34">
        <v>86230.0</v>
      </c>
      <c r="G25" s="34">
        <v>87476.0</v>
      </c>
      <c r="H25" s="34">
        <v>84818.0</v>
      </c>
      <c r="I25" s="34">
        <v>85150.0</v>
      </c>
      <c r="J25" s="34">
        <v>81568.0</v>
      </c>
      <c r="K25" s="35">
        <f t="shared" si="1"/>
        <v>91547</v>
      </c>
      <c r="L25" s="36">
        <f t="shared" si="2"/>
        <v>1800</v>
      </c>
      <c r="M25" s="37">
        <v>29.0</v>
      </c>
      <c r="N25" s="38">
        <v>46220.0</v>
      </c>
      <c r="O25" s="37" t="s">
        <v>70</v>
      </c>
    </row>
    <row r="26" ht="15.0" customHeight="1">
      <c r="A26" s="42">
        <v>9212.0</v>
      </c>
      <c r="B26" s="20" t="s">
        <v>44</v>
      </c>
      <c r="C26" s="33">
        <v>808481.0</v>
      </c>
      <c r="D26" s="34">
        <v>85316.0</v>
      </c>
      <c r="E26" s="34">
        <v>86562.0</v>
      </c>
      <c r="F26" s="34">
        <v>83821.0</v>
      </c>
      <c r="G26" s="34">
        <v>81661.0</v>
      </c>
      <c r="H26" s="34">
        <v>78753.0</v>
      </c>
      <c r="I26" s="34">
        <v>76344.0</v>
      </c>
      <c r="J26" s="34">
        <v>77092.0</v>
      </c>
      <c r="K26" s="35">
        <f t="shared" si="1"/>
        <v>86562</v>
      </c>
      <c r="L26" s="36">
        <f t="shared" si="2"/>
        <v>1900</v>
      </c>
      <c r="M26" s="37">
        <v>18.0</v>
      </c>
      <c r="N26" s="38">
        <v>46220.0</v>
      </c>
      <c r="O26" s="37" t="s">
        <v>71</v>
      </c>
    </row>
    <row r="27" ht="15.0" customHeight="1">
      <c r="A27" s="42">
        <v>9213.0</v>
      </c>
      <c r="B27" s="20" t="s">
        <v>44</v>
      </c>
      <c r="C27" s="33">
        <v>104759.0</v>
      </c>
      <c r="D27" s="34">
        <v>80664.0</v>
      </c>
      <c r="E27" s="34">
        <v>78670.0</v>
      </c>
      <c r="F27" s="34">
        <v>82492.0</v>
      </c>
      <c r="G27" s="34">
        <v>86895.0</v>
      </c>
      <c r="H27" s="34">
        <v>85233.0</v>
      </c>
      <c r="I27" s="34">
        <v>82907.0</v>
      </c>
      <c r="J27" s="34">
        <v>83655.0</v>
      </c>
      <c r="K27" s="35">
        <f t="shared" si="1"/>
        <v>86895</v>
      </c>
      <c r="L27" s="36">
        <f t="shared" si="2"/>
        <v>2100</v>
      </c>
      <c r="M27" s="11"/>
      <c r="N27" s="38">
        <v>46220.0</v>
      </c>
      <c r="O27" s="37" t="s">
        <v>72</v>
      </c>
    </row>
    <row r="28" ht="15.0" customHeight="1">
      <c r="A28" s="42">
        <v>9214.0</v>
      </c>
      <c r="B28" s="20" t="s">
        <v>44</v>
      </c>
      <c r="C28" s="33">
        <v>130073.0</v>
      </c>
      <c r="D28" s="34">
        <v>81910.0</v>
      </c>
      <c r="E28" s="34">
        <v>79584.0</v>
      </c>
      <c r="F28" s="34">
        <v>83239.0</v>
      </c>
      <c r="G28" s="34">
        <v>80913.0</v>
      </c>
      <c r="H28" s="34">
        <v>78421.0</v>
      </c>
      <c r="I28" s="34">
        <v>76594.0</v>
      </c>
      <c r="J28" s="34">
        <v>72686.0</v>
      </c>
      <c r="K28" s="35">
        <f t="shared" si="1"/>
        <v>83239</v>
      </c>
      <c r="L28" s="36">
        <f t="shared" si="2"/>
        <v>2000</v>
      </c>
      <c r="M28" s="37">
        <v>18.0</v>
      </c>
      <c r="N28" s="38">
        <v>46220.0</v>
      </c>
      <c r="O28" s="37" t="s">
        <v>73</v>
      </c>
    </row>
    <row r="29" ht="15.0" customHeight="1">
      <c r="A29" s="42">
        <v>9215.0</v>
      </c>
      <c r="B29" s="20" t="s">
        <v>44</v>
      </c>
      <c r="C29" s="33">
        <v>200171.0</v>
      </c>
      <c r="D29" s="34">
        <v>81993.0</v>
      </c>
      <c r="E29" s="34">
        <v>79917.0</v>
      </c>
      <c r="F29" s="34">
        <v>77674.0</v>
      </c>
      <c r="G29" s="34">
        <v>78670.0</v>
      </c>
      <c r="H29" s="34">
        <v>79501.0</v>
      </c>
      <c r="I29" s="34">
        <v>80249.0</v>
      </c>
      <c r="J29" s="34">
        <v>84403.0</v>
      </c>
      <c r="K29" s="35">
        <f t="shared" si="1"/>
        <v>84403</v>
      </c>
      <c r="L29" s="36">
        <f t="shared" si="2"/>
        <v>2400</v>
      </c>
      <c r="M29" s="37">
        <v>17.0</v>
      </c>
      <c r="N29" s="38">
        <v>46220.0</v>
      </c>
      <c r="O29" s="37" t="s">
        <v>74</v>
      </c>
    </row>
    <row r="30" ht="15.0" customHeight="1">
      <c r="A30" s="43">
        <v>9261.0</v>
      </c>
      <c r="B30" s="22" t="s">
        <v>50</v>
      </c>
      <c r="C30" s="33">
        <v>263167.0</v>
      </c>
      <c r="D30" s="44"/>
      <c r="E30" s="44"/>
      <c r="F30" s="44"/>
      <c r="G30" s="44"/>
      <c r="H30" s="44"/>
      <c r="I30" s="44"/>
      <c r="J30" s="44"/>
      <c r="K30" s="35" t="str">
        <f t="shared" si="1"/>
        <v/>
      </c>
      <c r="L30" s="24" t="str">
        <f t="shared" si="2"/>
        <v/>
      </c>
      <c r="M30" s="24">
        <v>15.0</v>
      </c>
      <c r="N30" s="24" t="s">
        <v>38</v>
      </c>
      <c r="O30" s="24" t="s">
        <v>51</v>
      </c>
    </row>
    <row r="31" ht="15.0" customHeight="1">
      <c r="A31" s="43">
        <v>9262.0</v>
      </c>
      <c r="B31" s="22" t="s">
        <v>50</v>
      </c>
      <c r="C31" s="33">
        <v>808481.0</v>
      </c>
      <c r="D31" s="44"/>
      <c r="E31" s="44"/>
      <c r="F31" s="44"/>
      <c r="G31" s="44"/>
      <c r="H31" s="44"/>
      <c r="I31" s="44"/>
      <c r="J31" s="44"/>
      <c r="K31" s="35" t="str">
        <f t="shared" si="1"/>
        <v/>
      </c>
      <c r="L31" s="24" t="str">
        <f t="shared" si="2"/>
        <v/>
      </c>
      <c r="M31" s="24">
        <v>17.0</v>
      </c>
      <c r="N31" s="24" t="s">
        <v>38</v>
      </c>
      <c r="O31" s="24" t="s">
        <v>52</v>
      </c>
    </row>
    <row r="32" ht="15.0" customHeight="1">
      <c r="A32" s="43">
        <v>9263.0</v>
      </c>
      <c r="B32" s="22" t="s">
        <v>50</v>
      </c>
      <c r="C32" s="33">
        <v>104759.0</v>
      </c>
      <c r="D32" s="44"/>
      <c r="E32" s="44"/>
      <c r="F32" s="44"/>
      <c r="G32" s="44"/>
      <c r="H32" s="44"/>
      <c r="I32" s="44"/>
      <c r="J32" s="44"/>
      <c r="K32" s="35" t="str">
        <f t="shared" si="1"/>
        <v/>
      </c>
      <c r="L32" s="24" t="str">
        <f t="shared" si="2"/>
        <v/>
      </c>
      <c r="M32" s="24"/>
      <c r="N32" s="24"/>
      <c r="O32" s="45" t="s">
        <v>53</v>
      </c>
    </row>
    <row r="33" ht="15.0" customHeight="1">
      <c r="A33" s="43">
        <v>9264.0</v>
      </c>
      <c r="B33" s="22" t="s">
        <v>50</v>
      </c>
      <c r="C33" s="33">
        <v>130073.0</v>
      </c>
      <c r="D33" s="44"/>
      <c r="E33" s="44"/>
      <c r="F33" s="44"/>
      <c r="G33" s="44"/>
      <c r="H33" s="44"/>
      <c r="I33" s="44"/>
      <c r="J33" s="44"/>
      <c r="K33" s="35" t="str">
        <f t="shared" si="1"/>
        <v/>
      </c>
      <c r="L33" s="24" t="str">
        <f t="shared" si="2"/>
        <v/>
      </c>
      <c r="M33" s="24"/>
      <c r="N33" s="24"/>
      <c r="O33" s="45" t="s">
        <v>53</v>
      </c>
    </row>
    <row r="34" ht="15.0" customHeight="1">
      <c r="A34" s="43">
        <v>9265.0</v>
      </c>
      <c r="B34" s="22" t="s">
        <v>50</v>
      </c>
      <c r="C34" s="33">
        <v>200171.0</v>
      </c>
      <c r="D34" s="44"/>
      <c r="E34" s="44"/>
      <c r="F34" s="44"/>
      <c r="G34" s="44"/>
      <c r="H34" s="44"/>
      <c r="I34" s="44"/>
      <c r="J34" s="44"/>
      <c r="K34" s="35" t="str">
        <f t="shared" si="1"/>
        <v/>
      </c>
      <c r="L34" s="24" t="str">
        <f t="shared" si="2"/>
        <v/>
      </c>
      <c r="M34" s="24"/>
      <c r="N34" s="24"/>
      <c r="O34" s="45" t="s">
        <v>53</v>
      </c>
    </row>
    <row r="35" ht="15.0" customHeight="1">
      <c r="A35" s="46" t="s">
        <v>54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6" width="9.0"/>
    <col customWidth="1" min="7" max="10" width="10.0"/>
    <col customWidth="1" min="11" max="26" width="8.71"/>
  </cols>
  <sheetData>
    <row r="1" ht="15.0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 ht="15.0" customHeight="1">
      <c r="A3" s="47" t="s">
        <v>76</v>
      </c>
      <c r="B3" s="2"/>
      <c r="C3" s="2"/>
      <c r="D3" s="2"/>
      <c r="E3" s="2"/>
      <c r="F3" s="2"/>
      <c r="G3" s="2"/>
      <c r="H3" s="2"/>
      <c r="I3" s="2"/>
      <c r="J3" s="2"/>
    </row>
    <row r="4" ht="15.0" customHeight="1">
      <c r="A4" s="48" t="s">
        <v>77</v>
      </c>
      <c r="B4" s="48" t="s">
        <v>78</v>
      </c>
      <c r="C4" s="48" t="s">
        <v>79</v>
      </c>
      <c r="D4" s="48" t="s">
        <v>80</v>
      </c>
      <c r="E4" s="48" t="s">
        <v>81</v>
      </c>
      <c r="F4" s="48" t="s">
        <v>82</v>
      </c>
      <c r="G4" s="48" t="s">
        <v>83</v>
      </c>
      <c r="H4" s="2"/>
      <c r="I4" s="2"/>
      <c r="J4" s="2"/>
    </row>
    <row r="5" ht="15.0" customHeight="1">
      <c r="A5" s="32" t="s">
        <v>17</v>
      </c>
      <c r="B5" s="45">
        <f>COUNTIFS(Resultados!$B$5:$B$29,A5,Resultados!$K$5:$K$29,"&gt;0")</f>
        <v>5</v>
      </c>
      <c r="C5" s="49">
        <f>IF(B5=0,"",MEDIAN(Resultados!K5:K9))</f>
        <v>72.191</v>
      </c>
      <c r="D5" s="49">
        <f>IF(B5=0,"",AVERAGEIFS(Resultados!$K$5:$K$29,Resultados!$B$5:$B$29,A5))</f>
        <v>72.8056</v>
      </c>
      <c r="E5" s="49">
        <f>IF(B5=0,"",MINIFS(Resultados!$K$5:$K$29,Resultados!$B$5:$B$29,A5))</f>
        <v>71.111</v>
      </c>
      <c r="F5" s="49">
        <f>IF(B5=0,"",MAXIFS(Resultados!$K$5:$K$29,Resultados!$B$5:$B$29,A5))</f>
        <v>76.594</v>
      </c>
      <c r="G5" s="49">
        <f t="shared" ref="G5:G10" si="1">IF(OR(C5="",C$5=""),"",C5-C$5)</f>
        <v>0</v>
      </c>
      <c r="H5" s="2"/>
      <c r="I5" s="2"/>
      <c r="J5" s="2"/>
    </row>
    <row r="6" ht="15.0" customHeight="1">
      <c r="A6" s="50" t="s">
        <v>24</v>
      </c>
      <c r="B6" s="45">
        <f>COUNTIFS(Resultados!$B$5:$B$29,A6,Resultados!$K$5:$K$29,"&gt;0")</f>
        <v>5</v>
      </c>
      <c r="C6" s="49">
        <f>IF(B6=0,"",MEDIAN(Resultados!K10:K14))</f>
        <v>72.606</v>
      </c>
      <c r="D6" s="49">
        <f>IF(B6=0,"",AVERAGEIFS(Resultados!$K$5:$K$29,Resultados!$B$5:$B$29,A6))</f>
        <v>73.686</v>
      </c>
      <c r="E6" s="49">
        <f>IF(B6=0,"",MINIFS(Resultados!$K$5:$K$29,Resultados!$B$5:$B$29,A6))</f>
        <v>69.449</v>
      </c>
      <c r="F6" s="49">
        <f>IF(B6=0,"",MAXIFS(Resultados!$K$5:$K$29,Resultados!$B$5:$B$29,A6))</f>
        <v>81.246</v>
      </c>
      <c r="G6" s="49">
        <f t="shared" si="1"/>
        <v>0.415</v>
      </c>
      <c r="H6" s="2"/>
      <c r="I6" s="2"/>
      <c r="J6" s="2"/>
    </row>
    <row r="7" ht="15.0" customHeight="1">
      <c r="A7" s="51" t="s">
        <v>31</v>
      </c>
      <c r="B7" s="45">
        <f>COUNTIFS(Resultados!$B$5:$B$29,A7,Resultados!$K$5:$K$29,"&gt;0")</f>
        <v>5</v>
      </c>
      <c r="C7" s="49">
        <f>IF(B7=0,"",MEDIAN(Resultados!K15:K19))</f>
        <v>69.449</v>
      </c>
      <c r="D7" s="49">
        <f>IF(B7=0,"",AVERAGEIFS(Resultados!$K$5:$K$29,Resultados!$B$5:$B$29,A7))</f>
        <v>70.6288</v>
      </c>
      <c r="E7" s="49">
        <f>IF(B7=0,"",MINIFS(Resultados!$K$5:$K$29,Resultados!$B$5:$B$29,A7))</f>
        <v>68.618</v>
      </c>
      <c r="F7" s="49">
        <f>IF(B7=0,"",MAXIFS(Resultados!$K$5:$K$29,Resultados!$B$5:$B$29,A7))</f>
        <v>74.683</v>
      </c>
      <c r="G7" s="49">
        <f t="shared" si="1"/>
        <v>-2.742</v>
      </c>
      <c r="H7" s="2"/>
      <c r="I7" s="2"/>
      <c r="J7" s="2"/>
    </row>
    <row r="8" ht="15.0" customHeight="1">
      <c r="A8" s="52" t="s">
        <v>37</v>
      </c>
      <c r="B8" s="45">
        <f>COUNTIFS(Resultados!$B$5:$B$29,A8,Resultados!$K$5:$K$29,"&gt;0")</f>
        <v>5</v>
      </c>
      <c r="C8" s="49">
        <f>IF(B8=0,"",MEDIAN(Resultados!K20:K24))</f>
        <v>78.006</v>
      </c>
      <c r="D8" s="49">
        <f>IF(B8=0,"",AVERAGEIFS(Resultados!$K$5:$K$29,Resultados!$B$5:$B$29,A8))</f>
        <v>78.8366</v>
      </c>
      <c r="E8" s="49">
        <f>IF(B8=0,"",MINIFS(Resultados!$K$5:$K$29,Resultados!$B$5:$B$29,A8))</f>
        <v>73.52</v>
      </c>
      <c r="F8" s="49">
        <f>IF(B8=0,"",MAXIFS(Resultados!$K$5:$K$29,Resultados!$B$5:$B$29,A8))</f>
        <v>84.652</v>
      </c>
      <c r="G8" s="49">
        <f t="shared" si="1"/>
        <v>5.815</v>
      </c>
      <c r="H8" s="2"/>
      <c r="I8" s="2"/>
      <c r="J8" s="2"/>
    </row>
    <row r="9" ht="15.0" customHeight="1">
      <c r="A9" s="42" t="s">
        <v>44</v>
      </c>
      <c r="B9" s="45">
        <f>COUNTIFS(Resultados!$B$5:$B$29,A9,Resultados!$K$5:$K$29,"&gt;0")</f>
        <v>5</v>
      </c>
      <c r="C9" s="49">
        <f>IF(B9=0,"",MEDIAN(Resultados!K25:K29))</f>
        <v>87.393</v>
      </c>
      <c r="D9" s="49">
        <f>IF(B9=0,"",AVERAGEIFS(Resultados!$K$5:$K$29,Resultados!$B$5:$B$29,A9))</f>
        <v>85.333</v>
      </c>
      <c r="E9" s="49">
        <f>IF(B9=0,"",MINIFS(Resultados!$K$5:$K$29,Resultados!$B$5:$B$29,A9))</f>
        <v>81.163</v>
      </c>
      <c r="F9" s="49">
        <f>IF(B9=0,"",MAXIFS(Resultados!$K$5:$K$29,Resultados!$B$5:$B$29,A9))</f>
        <v>88.307</v>
      </c>
      <c r="G9" s="49">
        <f t="shared" si="1"/>
        <v>15.202</v>
      </c>
      <c r="H9" s="2"/>
      <c r="I9" s="2"/>
      <c r="J9" s="2"/>
    </row>
    <row r="10">
      <c r="A10" s="43" t="s">
        <v>84</v>
      </c>
      <c r="B10" s="45">
        <f>COUNT(Resultados!K30:K34)</f>
        <v>2</v>
      </c>
      <c r="C10" s="49">
        <f>IF(B10=0,"",MEDIAN(Resultados!K30:K34))</f>
        <v>78.338</v>
      </c>
      <c r="D10" s="49">
        <f>IF(B10=0,"",AVERAGE(Resultados!K30:K34))</f>
        <v>78.338</v>
      </c>
      <c r="E10" s="49">
        <f>IF(B10=0,"",MIN(Resultados!K30:K34))</f>
        <v>77.175</v>
      </c>
      <c r="F10" s="49">
        <f>IF(B10=0,"",MAX(Resultados!K30:K34))</f>
        <v>79.501</v>
      </c>
      <c r="G10" s="49">
        <f t="shared" si="1"/>
        <v>6.147</v>
      </c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5.0" customHeight="1">
      <c r="A12" s="47" t="s">
        <v>85</v>
      </c>
      <c r="B12" s="2"/>
      <c r="C12" s="2"/>
      <c r="D12" s="2"/>
      <c r="E12" s="2"/>
      <c r="F12" s="2"/>
      <c r="G12" s="2"/>
      <c r="H12" s="2"/>
      <c r="I12" s="2"/>
      <c r="J12" s="2"/>
    </row>
    <row r="13" ht="15.0" customHeight="1">
      <c r="A13" s="48" t="s">
        <v>4</v>
      </c>
      <c r="B13" s="48" t="s">
        <v>86</v>
      </c>
      <c r="C13" s="48" t="s">
        <v>87</v>
      </c>
      <c r="D13" s="48" t="s">
        <v>88</v>
      </c>
      <c r="E13" s="48" t="s">
        <v>89</v>
      </c>
      <c r="F13" s="48" t="s">
        <v>90</v>
      </c>
      <c r="G13" s="48" t="s">
        <v>91</v>
      </c>
      <c r="H13" s="48" t="s">
        <v>92</v>
      </c>
      <c r="I13" s="48" t="s">
        <v>93</v>
      </c>
      <c r="J13" s="48" t="s">
        <v>94</v>
      </c>
    </row>
    <row r="14" ht="15.0" customHeight="1">
      <c r="A14" s="45">
        <v>159636.0</v>
      </c>
      <c r="B14" s="49">
        <f t="array" ref="B14">IFERROR(INDEX(Resultados!$K$5:$K$29,MATCH(1,(Resultados!$B$5:$B$29="V0_baseline")*(Resultados!$C$5:$C$29=$A14),0)),"")</f>
        <v>76.594</v>
      </c>
      <c r="C14" s="49">
        <f t="array" ref="C14">IFERROR(INDEX(Resultados!$K$5:$K$29,MATCH(1,(Resultados!$B$5:$B$29="V4_augment")*(Resultados!$C$5:$C$29=$A14),0)),"")</f>
        <v>69.449</v>
      </c>
      <c r="D14" s="49">
        <f t="array" ref="D14">IFERROR(INDEX(Resultados!$K$5:$K$29,MATCH(1,(Resultados!$B$5:$B$29="V3_rotacion")*(Resultados!$C$5:$C$29=$A14),0)),"")</f>
        <v>74.683</v>
      </c>
      <c r="E14" s="49">
        <f t="array" ref="E14">IFERROR(INDEX(Resultados!$K$5:$K$29,MATCH(1,(Resultados!$B$5:$B$29="V2_pca90")*(Resultados!$C$5:$C$29=$A14),0)),"")</f>
        <v>77.424</v>
      </c>
      <c r="F14" s="49">
        <f t="array" ref="F14">IFERROR(INDEX(Resultados!$K$5:$K$29,MATCH(1,(Resultados!$B$5:$B$29="V1_pca80")*(Resultados!$C$5:$C$29=$A14),0)),"")</f>
        <v>81.993</v>
      </c>
      <c r="G14" s="53">
        <f t="shared" ref="G14:J14" si="2">IF(OR($B14="",C14=""),"",C14-$B14)</f>
        <v>-7.145</v>
      </c>
      <c r="H14" s="53">
        <f t="shared" si="2"/>
        <v>-1.911</v>
      </c>
      <c r="I14" s="53">
        <f t="shared" si="2"/>
        <v>0.83</v>
      </c>
      <c r="J14" s="53">
        <f t="shared" si="2"/>
        <v>5.399</v>
      </c>
    </row>
    <row r="15" ht="15.0" customHeight="1">
      <c r="A15" s="45">
        <v>264797.0</v>
      </c>
      <c r="B15" s="49">
        <f t="array" ref="B15">IFERROR(INDEX(Resultados!$K$5:$K$29,MATCH(1,(Resultados!$B$5:$B$29="V0_baseline")*(Resultados!$C$5:$C$29=$A15),0)),"")</f>
        <v>72.689</v>
      </c>
      <c r="C15" s="49">
        <f t="array" ref="C15">IFERROR(INDEX(Resultados!$K$5:$K$29,MATCH(1,(Resultados!$B$5:$B$29="V4_augment")*(Resultados!$C$5:$C$29=$A15),0)),"")</f>
        <v>81.246</v>
      </c>
      <c r="D15" s="49">
        <f t="array" ref="D15">IFERROR(INDEX(Resultados!$K$5:$K$29,MATCH(1,(Resultados!$B$5:$B$29="V3_rotacion")*(Resultados!$C$5:$C$29=$A15),0)),"")</f>
        <v>69.034</v>
      </c>
      <c r="E15" s="49">
        <f t="array" ref="E15">IFERROR(INDEX(Resultados!$K$5:$K$29,MATCH(1,(Resultados!$B$5:$B$29="V2_pca90")*(Resultados!$C$5:$C$29=$A15),0)),"")</f>
        <v>84.652</v>
      </c>
      <c r="F15" s="49">
        <f t="array" ref="F15">IFERROR(INDEX(Resultados!$K$5:$K$29,MATCH(1,(Resultados!$B$5:$B$29="V1_pca80")*(Resultados!$C$5:$C$29=$A15),0)),"")</f>
        <v>87.393</v>
      </c>
      <c r="G15" s="53">
        <f t="shared" ref="G15:J15" si="3">IF(OR($B15="",C15=""),"",C15-$B15)</f>
        <v>8.557</v>
      </c>
      <c r="H15" s="53">
        <f t="shared" si="3"/>
        <v>-3.655</v>
      </c>
      <c r="I15" s="53">
        <f t="shared" si="3"/>
        <v>11.963</v>
      </c>
      <c r="J15" s="53">
        <f t="shared" si="3"/>
        <v>14.704</v>
      </c>
    </row>
    <row r="16" ht="15.0" customHeight="1">
      <c r="A16" s="45">
        <v>357159.0</v>
      </c>
      <c r="B16" s="49">
        <f t="array" ref="B16">IFERROR(INDEX(Resultados!$K$5:$K$29,MATCH(1,(Resultados!$B$5:$B$29="V0_baseline")*(Resultados!$C$5:$C$29=$A16),0)),"")</f>
        <v>71.443</v>
      </c>
      <c r="C16" s="49">
        <f t="array" ref="C16">IFERROR(INDEX(Resultados!$K$5:$K$29,MATCH(1,(Resultados!$B$5:$B$29="V4_augment")*(Resultados!$C$5:$C$29=$A16),0)),"")</f>
        <v>75.431</v>
      </c>
      <c r="D16" s="49">
        <f t="array" ref="D16">IFERROR(INDEX(Resultados!$K$5:$K$29,MATCH(1,(Resultados!$B$5:$B$29="V3_rotacion")*(Resultados!$C$5:$C$29=$A16),0)),"")</f>
        <v>69.449</v>
      </c>
      <c r="E16" s="49">
        <f t="array" ref="E16">IFERROR(INDEX(Resultados!$K$5:$K$29,MATCH(1,(Resultados!$B$5:$B$29="V2_pca90")*(Resultados!$C$5:$C$29=$A16),0)),"")</f>
        <v>80.581</v>
      </c>
      <c r="F16" s="49">
        <f t="array" ref="F16">IFERROR(INDEX(Resultados!$K$5:$K$29,MATCH(1,(Resultados!$B$5:$B$29="V1_pca80")*(Resultados!$C$5:$C$29=$A16),0)),"")</f>
        <v>87.809</v>
      </c>
      <c r="G16" s="53">
        <f t="shared" ref="G16:J16" si="4">IF(OR($B16="",C16=""),"",C16-$B16)</f>
        <v>3.988</v>
      </c>
      <c r="H16" s="53">
        <f t="shared" si="4"/>
        <v>-1.994</v>
      </c>
      <c r="I16" s="53">
        <f t="shared" si="4"/>
        <v>9.138</v>
      </c>
      <c r="J16" s="53">
        <f t="shared" si="4"/>
        <v>16.366</v>
      </c>
    </row>
    <row r="17" ht="15.0" customHeight="1">
      <c r="A17" s="45">
        <v>753159.0</v>
      </c>
      <c r="B17" s="49">
        <f t="array" ref="B17">IFERROR(INDEX(Resultados!$K$5:$K$29,MATCH(1,(Resultados!$B$5:$B$29="V0_baseline")*(Resultados!$C$5:$C$29=$A17),0)),"")</f>
        <v>71.111</v>
      </c>
      <c r="C17" s="49">
        <f t="array" ref="C17">IFERROR(INDEX(Resultados!$K$5:$K$29,MATCH(1,(Resultados!$B$5:$B$29="V4_augment")*(Resultados!$C$5:$C$29=$A17),0)),"")</f>
        <v>69.698</v>
      </c>
      <c r="D17" s="49">
        <f t="array" ref="D17">IFERROR(INDEX(Resultados!$K$5:$K$29,MATCH(1,(Resultados!$B$5:$B$29="V3_rotacion")*(Resultados!$C$5:$C$29=$A17),0)),"")</f>
        <v>71.36</v>
      </c>
      <c r="E17" s="49">
        <f t="array" ref="E17">IFERROR(INDEX(Resultados!$K$5:$K$29,MATCH(1,(Resultados!$B$5:$B$29="V2_pca90")*(Resultados!$C$5:$C$29=$A17),0)),"")</f>
        <v>78.006</v>
      </c>
      <c r="F17" s="49">
        <f t="array" ref="F17">IFERROR(INDEX(Resultados!$K$5:$K$29,MATCH(1,(Resultados!$B$5:$B$29="V1_pca80")*(Resultados!$C$5:$C$29=$A17),0)),"")</f>
        <v>88.307</v>
      </c>
      <c r="G17" s="53">
        <f t="shared" ref="G17:J17" si="5">IF(OR($B17="",C17=""),"",C17-$B17)</f>
        <v>-1.413</v>
      </c>
      <c r="H17" s="53">
        <f t="shared" si="5"/>
        <v>0.249</v>
      </c>
      <c r="I17" s="53">
        <f t="shared" si="5"/>
        <v>6.895</v>
      </c>
      <c r="J17" s="53">
        <f t="shared" si="5"/>
        <v>17.196</v>
      </c>
    </row>
    <row r="18" ht="15.0" customHeight="1">
      <c r="A18" s="45">
        <v>456852.0</v>
      </c>
      <c r="B18" s="49">
        <f t="array" ref="B18">IFERROR(INDEX(Resultados!$K$5:$K$29,MATCH(1,(Resultados!$B$5:$B$29="V0_baseline")*(Resultados!$C$5:$C$29=$A18),0)),"")</f>
        <v>72.191</v>
      </c>
      <c r="C18" s="49">
        <f t="array" ref="C18">IFERROR(INDEX(Resultados!$K$5:$K$29,MATCH(1,(Resultados!$B$5:$B$29="V4_augment")*(Resultados!$C$5:$C$29=$A18),0)),"")</f>
        <v>72.606</v>
      </c>
      <c r="D18" s="49">
        <f t="array" ref="D18">IFERROR(INDEX(Resultados!$K$5:$K$29,MATCH(1,(Resultados!$B$5:$B$29="V3_rotacion")*(Resultados!$C$5:$C$29=$A18),0)),"")</f>
        <v>68.618</v>
      </c>
      <c r="E18" s="49">
        <f t="array" ref="E18">IFERROR(INDEX(Resultados!$K$5:$K$29,MATCH(1,(Resultados!$B$5:$B$29="V2_pca90")*(Resultados!$C$5:$C$29=$A18),0)),"")</f>
        <v>73.52</v>
      </c>
      <c r="F18" s="49">
        <f t="array" ref="F18">IFERROR(INDEX(Resultados!$K$5:$K$29,MATCH(1,(Resultados!$B$5:$B$29="V1_pca80")*(Resultados!$C$5:$C$29=$A18),0)),"")</f>
        <v>81.163</v>
      </c>
      <c r="G18" s="53">
        <f t="shared" ref="G18:J18" si="6">IF(OR($B18="",C18=""),"",C18-$B18)</f>
        <v>0.415</v>
      </c>
      <c r="H18" s="53">
        <f t="shared" si="6"/>
        <v>-3.573</v>
      </c>
      <c r="I18" s="53">
        <f t="shared" si="6"/>
        <v>1.329</v>
      </c>
      <c r="J18" s="53">
        <f t="shared" si="6"/>
        <v>8.972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.0" customHeight="1">
      <c r="A20" s="47" t="s">
        <v>95</v>
      </c>
      <c r="B20" s="2"/>
      <c r="C20" s="2"/>
      <c r="D20" s="2"/>
      <c r="E20" s="2"/>
      <c r="F20" s="2"/>
      <c r="G20" s="46">
        <f t="shared" ref="G20:J20" si="7">COUNTIF(G14:G18,"&gt;0")</f>
        <v>3</v>
      </c>
      <c r="H20" s="46">
        <f t="shared" si="7"/>
        <v>1</v>
      </c>
      <c r="I20" s="46">
        <f t="shared" si="7"/>
        <v>5</v>
      </c>
      <c r="J20" s="46">
        <f t="shared" si="7"/>
        <v>5</v>
      </c>
    </row>
    <row r="21" ht="15.0" customHeight="1">
      <c r="A21" s="47" t="s">
        <v>96</v>
      </c>
      <c r="B21" s="2"/>
      <c r="C21" s="2"/>
      <c r="D21" s="2"/>
      <c r="E21" s="2"/>
      <c r="F21" s="2"/>
      <c r="G21" s="46">
        <f t="shared" ref="G21:J21" si="8">COUNTIF(G14:G18,"&lt;0")</f>
        <v>2</v>
      </c>
      <c r="H21" s="46">
        <f t="shared" si="8"/>
        <v>4</v>
      </c>
      <c r="I21" s="46">
        <f t="shared" si="8"/>
        <v>0</v>
      </c>
      <c r="J21" s="46">
        <f t="shared" si="8"/>
        <v>0</v>
      </c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0" customHeight="1">
      <c r="A23" s="3" t="s">
        <v>97</v>
      </c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.0"/>
    <col customWidth="1" min="3" max="3" width="10.43"/>
    <col customWidth="1" min="4" max="4" width="9.57"/>
    <col customWidth="1" min="5" max="6" width="9.0"/>
    <col customWidth="1" min="7" max="10" width="10.0"/>
    <col customWidth="1" min="11" max="26" width="8.71"/>
  </cols>
  <sheetData>
    <row r="1" ht="15.0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 ht="15.0" customHeight="1">
      <c r="A3" s="47" t="s">
        <v>76</v>
      </c>
      <c r="B3" s="2"/>
      <c r="C3" s="2"/>
      <c r="D3" s="2"/>
      <c r="E3" s="2"/>
      <c r="F3" s="2"/>
      <c r="G3" s="2"/>
      <c r="H3" s="2"/>
      <c r="I3" s="2"/>
      <c r="J3" s="2"/>
    </row>
    <row r="4" ht="15.0" customHeight="1">
      <c r="A4" s="48" t="s">
        <v>77</v>
      </c>
      <c r="B4" s="48" t="s">
        <v>78</v>
      </c>
      <c r="C4" s="48" t="s">
        <v>79</v>
      </c>
      <c r="D4" s="48" t="s">
        <v>80</v>
      </c>
      <c r="E4" s="48" t="s">
        <v>81</v>
      </c>
      <c r="F4" s="48" t="s">
        <v>82</v>
      </c>
      <c r="G4" s="48" t="s">
        <v>83</v>
      </c>
      <c r="H4" s="2"/>
      <c r="I4" s="2"/>
      <c r="J4" s="2"/>
    </row>
    <row r="5" ht="15.0" customHeight="1">
      <c r="A5" s="32" t="s">
        <v>17</v>
      </c>
      <c r="B5" s="45">
        <f>COUNTIFS('Resultados Eli'!$B$5:$B$29,A5,'Resultados Eli'!$K$5:$K$29,"&gt;0")</f>
        <v>5</v>
      </c>
      <c r="C5" s="54">
        <f>IF(B5=0,"",MEDIAN('Resultados Eli'!K5:K9))</f>
        <v>72108</v>
      </c>
      <c r="D5" s="54">
        <f>IF(B5=0,"",AVERAGEIFS('Resultados Eli'!$K$5:$K$29,'Resultados Eli'!$B$5:$B$29,A5))</f>
        <v>71659</v>
      </c>
      <c r="E5" s="54">
        <f>IF(B5=0,"",MINIFS('Resultados Eli'!$K$5:$K$29,'Resultados Eli'!$B$5:$B$29,A5))</f>
        <v>69117</v>
      </c>
      <c r="F5" s="54">
        <f>IF(B5=0,"",MAXIFS('Resultados Eli'!$K$5:$K$29,'Resultados Eli'!$B$5:$B$29,A5))</f>
        <v>74101</v>
      </c>
      <c r="G5" s="49">
        <f t="shared" ref="G5:G10" si="1">IF(OR(C5="",C$5=""),"",C5-C$5)</f>
        <v>0</v>
      </c>
      <c r="H5" s="2"/>
      <c r="I5" s="2"/>
      <c r="J5" s="2"/>
    </row>
    <row r="6" ht="15.0" customHeight="1">
      <c r="A6" s="50" t="s">
        <v>24</v>
      </c>
      <c r="B6" s="45">
        <f>COUNTIFS('Resultados Eli'!$B$5:$B$29,A6,'Resultados Eli'!$K$5:$K$29,"&gt;0")</f>
        <v>5</v>
      </c>
      <c r="C6" s="54">
        <f>IF(B6=0,"",MEDIAN('Resultados Eli'!K6:K10))</f>
        <v>72772</v>
      </c>
      <c r="D6" s="54">
        <f>IF(B6=0,"",AVERAGEIFS('Resultados Eli'!$K$5:$K$29,'Resultados Eli'!$B$5:$B$29,A6))</f>
        <v>72539.4</v>
      </c>
      <c r="E6" s="54">
        <f>IF(B6=0,"",MINIFS('Resultados Eli'!$K$5:$K$29,'Resultados Eli'!$B$5:$B$29,A6))</f>
        <v>69698</v>
      </c>
      <c r="F6" s="54">
        <f>IF(B6=0,"",MAXIFS('Resultados Eli'!$K$5:$K$29,'Resultados Eli'!$B$5:$B$29,A6))</f>
        <v>75347</v>
      </c>
      <c r="G6" s="49">
        <f t="shared" si="1"/>
        <v>664</v>
      </c>
      <c r="H6" s="2"/>
      <c r="I6" s="2"/>
      <c r="J6" s="2"/>
    </row>
    <row r="7" ht="15.0" customHeight="1">
      <c r="A7" s="51" t="s">
        <v>31</v>
      </c>
      <c r="B7" s="45">
        <f>COUNTIFS('Resultados Eli'!$B$5:$B$29,A7,'Resultados Eli'!$K$5:$K$29,"&gt;0")</f>
        <v>5</v>
      </c>
      <c r="C7" s="54">
        <f>IF(B7=0,"",MEDIAN('Resultados Eli'!K7:K11))</f>
        <v>72772</v>
      </c>
      <c r="D7" s="54">
        <f>IF(B7=0,"",AVERAGEIFS('Resultados Eli'!$K$5:$K$29,'Resultados Eli'!$B$5:$B$29,A7))</f>
        <v>72323.4</v>
      </c>
      <c r="E7" s="54">
        <f>IF(B7=0,"",MINIFS('Resultados Eli'!$K$5:$K$29,'Resultados Eli'!$B$5:$B$29,A7))</f>
        <v>70031</v>
      </c>
      <c r="F7" s="54">
        <f>IF(B7=0,"",MAXIFS('Resultados Eli'!$K$5:$K$29,'Resultados Eli'!$B$5:$B$29,A7))</f>
        <v>75264</v>
      </c>
      <c r="G7" s="49">
        <f t="shared" si="1"/>
        <v>664</v>
      </c>
      <c r="H7" s="2"/>
      <c r="I7" s="2"/>
      <c r="J7" s="2"/>
    </row>
    <row r="8" ht="15.0" customHeight="1">
      <c r="A8" s="52" t="s">
        <v>37</v>
      </c>
      <c r="B8" s="45">
        <f>COUNTIFS('Resultados Eli'!$B$5:$B$29,A8,'Resultados Eli'!$K$5:$K$29,"&gt;0")</f>
        <v>5</v>
      </c>
      <c r="C8" s="54">
        <f>IF(B8=0,"",MEDIAN('Resultados Eli'!K8:K12))</f>
        <v>72772</v>
      </c>
      <c r="D8" s="54">
        <f>IF(B8=0,"",AVERAGEIFS('Resultados Eli'!$K$5:$K$29,'Resultados Eli'!$B$5:$B$29,A8))</f>
        <v>80099.2</v>
      </c>
      <c r="E8" s="54">
        <f>IF(B8=0,"",MINIFS('Resultados Eli'!$K$5:$K$29,'Resultados Eli'!$B$5:$B$29,A8))</f>
        <v>75929</v>
      </c>
      <c r="F8" s="54">
        <f>IF(B8=0,"",MAXIFS('Resultados Eli'!$K$5:$K$29,'Resultados Eli'!$B$5:$B$29,A8))</f>
        <v>82575</v>
      </c>
      <c r="G8" s="49">
        <f t="shared" si="1"/>
        <v>664</v>
      </c>
      <c r="H8" s="2"/>
      <c r="I8" s="2"/>
      <c r="J8" s="2"/>
    </row>
    <row r="9" ht="15.0" customHeight="1">
      <c r="A9" s="42" t="s">
        <v>44</v>
      </c>
      <c r="B9" s="45">
        <f>COUNTIFS('Resultados Eli'!$B$5:$B$29,A9,'Resultados Eli'!$K$5:$K$29,"&gt;0")</f>
        <v>5</v>
      </c>
      <c r="C9" s="54">
        <f>IF(B9=0,"",MEDIAN('Resultados Eli'!K9:K13))</f>
        <v>72938</v>
      </c>
      <c r="D9" s="54">
        <f>IF(B9=0,"",AVERAGEIFS('Resultados Eli'!$K$5:$K$29,'Resultados Eli'!$B$5:$B$29,A9))</f>
        <v>86529.2</v>
      </c>
      <c r="E9" s="54">
        <f>IF(B9=0,"",MINIFS('Resultados Eli'!$K$5:$K$29,'Resultados Eli'!$B$5:$B$29,A9))</f>
        <v>83239</v>
      </c>
      <c r="F9" s="54">
        <f>IF(B9=0,"",MAXIFS('Resultados Eli'!$K$5:$K$29,'Resultados Eli'!$B$5:$B$29,A9))</f>
        <v>91547</v>
      </c>
      <c r="G9" s="49">
        <f t="shared" si="1"/>
        <v>830</v>
      </c>
      <c r="H9" s="2"/>
      <c r="I9" s="2"/>
      <c r="J9" s="2"/>
    </row>
    <row r="10">
      <c r="A10" s="43" t="s">
        <v>84</v>
      </c>
      <c r="B10" s="45">
        <f>COUNTIFS('Resultados Eli'!$B$5:$B$29,A10,'Resultados Eli'!$K$5:$K$29,"&gt;0")</f>
        <v>0</v>
      </c>
      <c r="C10" s="54" t="str">
        <f>IF(B10=0,"",MEDIAN('Resultados Eli'!K10:K14))</f>
        <v/>
      </c>
      <c r="D10" s="54" t="str">
        <f>IF(B10=0,"",AVERAGEIFS('Resultados Eli'!$K$5:$K$29,'Resultados Eli'!$B$5:$B$29,A10))</f>
        <v/>
      </c>
      <c r="E10" s="54" t="str">
        <f>IF(B10=0,"",MINIFS('Resultados Eli'!$K$5:$K$29,'Resultados Eli'!$B$5:$B$29,A10))</f>
        <v/>
      </c>
      <c r="F10" s="54" t="str">
        <f>IF(B10=0,"",MAXIFS('Resultados Eli'!$K$5:$K$29,'Resultados Eli'!$B$5:$B$29,A10))</f>
        <v/>
      </c>
      <c r="G10" s="49" t="str">
        <f t="shared" si="1"/>
        <v/>
      </c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5.0" customHeight="1">
      <c r="A12" s="47" t="s">
        <v>85</v>
      </c>
      <c r="B12" s="2"/>
      <c r="C12" s="2"/>
      <c r="D12" s="2"/>
      <c r="E12" s="2"/>
      <c r="F12" s="2"/>
      <c r="G12" s="2"/>
      <c r="H12" s="2"/>
      <c r="I12" s="2"/>
      <c r="J12" s="2"/>
    </row>
    <row r="13" ht="15.0" customHeight="1">
      <c r="A13" s="48" t="s">
        <v>4</v>
      </c>
      <c r="B13" s="48" t="s">
        <v>86</v>
      </c>
      <c r="C13" s="48" t="s">
        <v>87</v>
      </c>
      <c r="D13" s="48" t="s">
        <v>88</v>
      </c>
      <c r="E13" s="48" t="s">
        <v>89</v>
      </c>
      <c r="F13" s="48" t="s">
        <v>90</v>
      </c>
      <c r="G13" s="48" t="s">
        <v>91</v>
      </c>
      <c r="H13" s="48" t="s">
        <v>92</v>
      </c>
      <c r="I13" s="48" t="s">
        <v>93</v>
      </c>
      <c r="J13" s="48" t="s">
        <v>94</v>
      </c>
    </row>
    <row r="14" ht="15.0" customHeight="1">
      <c r="A14" s="33">
        <v>263167.0</v>
      </c>
      <c r="B14" s="54">
        <f t="array" ref="B14">IFERROR(INDEX('Resultados Eli'!$K$5:$K$29,MATCH(1,('Resultados Eli'!$B$5:$B$29="V0_baseline")*('Resultados Eli'!$C$5:$C$29=$A14),0)),"")</f>
        <v>72108</v>
      </c>
      <c r="C14" s="54">
        <f t="array" ref="C14">IFERROR(INDEX('Resultados Eli'!$K$5:$K$29,MATCH(1,('Resultados Eli'!$B$5:$B$29="V4_augment")*('Resultados Eli'!$C$5:$C$29=$A14),0)),"")</f>
        <v>75347</v>
      </c>
      <c r="D14" s="54">
        <f t="array" ref="D14">IFERROR(INDEX('Resultados Eli'!$K$5:$K$29,MATCH(1,('Resultados Eli'!$B$5:$B$29="V3_rotacion")*('Resultados Eli'!$C$5:$C$29=$A14),0)),"")</f>
        <v>75264</v>
      </c>
      <c r="E14" s="54">
        <f t="array" ref="E14">IFERROR(INDEX('Resultados Eli'!$K$5:$K$29,MATCH(1,('Resultados Eli'!$B$5:$B$29="V2_pca90")*('Resultados Eli'!$C$5:$C$29=$A14),0)),"")</f>
        <v>80913</v>
      </c>
      <c r="F14" s="54">
        <f t="array" ref="F14">IFERROR(INDEX('Resultados Eli'!$K$5:$K$29,MATCH(1,('Resultados Eli'!$B$5:$B$29="V1_pca80")*('Resultados Eli'!$C$5:$C$29=$A14),0)),"")</f>
        <v>91547</v>
      </c>
      <c r="G14" s="54">
        <f t="shared" ref="G14:J14" si="2">IF(OR($B14="",C14=""),"",C14-$B14)</f>
        <v>3239</v>
      </c>
      <c r="H14" s="54">
        <f t="shared" si="2"/>
        <v>3156</v>
      </c>
      <c r="I14" s="54">
        <f t="shared" si="2"/>
        <v>8805</v>
      </c>
      <c r="J14" s="54">
        <f t="shared" si="2"/>
        <v>19439</v>
      </c>
    </row>
    <row r="15" ht="15.0" customHeight="1">
      <c r="A15" s="33">
        <v>808481.0</v>
      </c>
      <c r="B15" s="54">
        <f t="array" ref="B15">IFERROR(INDEX('Resultados Eli'!$K$5:$K$29,MATCH(1,('Resultados Eli'!$B$5:$B$29="V0_baseline")*('Resultados Eli'!$C$5:$C$29=$A15),0)),"")</f>
        <v>70197</v>
      </c>
      <c r="C15" s="54">
        <f t="array" ref="C15">IFERROR(INDEX('Resultados Eli'!$K$5:$K$29,MATCH(1,('Resultados Eli'!$B$5:$B$29="V4_augment")*('Resultados Eli'!$C$5:$C$29=$A15),0)),"")</f>
        <v>71111</v>
      </c>
      <c r="D15" s="54">
        <f t="array" ref="D15">IFERROR(INDEX('Resultados Eli'!$K$5:$K$29,MATCH(1,('Resultados Eli'!$B$5:$B$29="V3_rotacion")*('Resultados Eli'!$C$5:$C$29=$A15),0)),"")</f>
        <v>71941</v>
      </c>
      <c r="E15" s="54">
        <f t="array" ref="E15">IFERROR(INDEX('Resultados Eli'!$K$5:$K$29,MATCH(1,('Resultados Eli'!$B$5:$B$29="V2_pca90")*('Resultados Eli'!$C$5:$C$29=$A15),0)),"")</f>
        <v>79169</v>
      </c>
      <c r="F15" s="54">
        <f t="array" ref="F15">IFERROR(INDEX('Resultados Eli'!$K$5:$K$29,MATCH(1,('Resultados Eli'!$B$5:$B$29="V1_pca80")*('Resultados Eli'!$C$5:$C$29=$A15),0)),"")</f>
        <v>86562</v>
      </c>
      <c r="G15" s="54">
        <f t="shared" ref="G15:J15" si="3">IF(OR($B15="",C15=""),"",C15-$B15)</f>
        <v>914</v>
      </c>
      <c r="H15" s="54">
        <f t="shared" si="3"/>
        <v>1744</v>
      </c>
      <c r="I15" s="54">
        <f t="shared" si="3"/>
        <v>8972</v>
      </c>
      <c r="J15" s="54">
        <f t="shared" si="3"/>
        <v>16365</v>
      </c>
    </row>
    <row r="16" ht="15.0" customHeight="1">
      <c r="A16" s="33">
        <v>104759.0</v>
      </c>
      <c r="B16" s="54">
        <f t="array" ref="B16">IFERROR(INDEX('Resultados Eli'!$K$5:$K$29,MATCH(1,('Resultados Eli'!$B$5:$B$29="V0_baseline")*('Resultados Eli'!$C$5:$C$29=$A16),0)),"")</f>
        <v>74101</v>
      </c>
      <c r="C16" s="54">
        <f t="array" ref="C16">IFERROR(INDEX('Resultados Eli'!$K$5:$K$29,MATCH(1,('Resultados Eli'!$B$5:$B$29="V4_augment")*('Resultados Eli'!$C$5:$C$29=$A16),0)),"")</f>
        <v>72938</v>
      </c>
      <c r="D16" s="54">
        <f t="array" ref="D16">IFERROR(INDEX('Resultados Eli'!$K$5:$K$29,MATCH(1,('Resultados Eli'!$B$5:$B$29="V3_rotacion")*('Resultados Eli'!$C$5:$C$29=$A16),0)),"")</f>
        <v>71775</v>
      </c>
      <c r="E16" s="54">
        <f t="array" ref="E16">IFERROR(INDEX('Resultados Eli'!$K$5:$K$29,MATCH(1,('Resultados Eli'!$B$5:$B$29="V2_pca90")*('Resultados Eli'!$C$5:$C$29=$A16),0)),"")</f>
        <v>81910</v>
      </c>
      <c r="F16" s="54">
        <f t="array" ref="F16">IFERROR(INDEX('Resultados Eli'!$K$5:$K$29,MATCH(1,('Resultados Eli'!$B$5:$B$29="V1_pca80")*('Resultados Eli'!$C$5:$C$29=$A16),0)),"")</f>
        <v>86895</v>
      </c>
      <c r="G16" s="54">
        <f t="shared" ref="G16:J16" si="4">IF(OR($B16="",C16=""),"",C16-$B16)</f>
        <v>-1163</v>
      </c>
      <c r="H16" s="54">
        <f t="shared" si="4"/>
        <v>-2326</v>
      </c>
      <c r="I16" s="54">
        <f t="shared" si="4"/>
        <v>7809</v>
      </c>
      <c r="J16" s="54">
        <f t="shared" si="4"/>
        <v>12794</v>
      </c>
    </row>
    <row r="17" ht="15.0" customHeight="1">
      <c r="A17" s="33">
        <v>130073.0</v>
      </c>
      <c r="B17" s="54">
        <f t="array" ref="B17">IFERROR(INDEX('Resultados Eli'!$K$5:$K$29,MATCH(1,('Resultados Eli'!$B$5:$B$29="V0_baseline")*('Resultados Eli'!$C$5:$C$29=$A17),0)),"")</f>
        <v>69117</v>
      </c>
      <c r="C17" s="54">
        <f t="array" ref="C17">IFERROR(INDEX('Resultados Eli'!$K$5:$K$29,MATCH(1,('Resultados Eli'!$B$5:$B$29="V4_augment")*('Resultados Eli'!$C$5:$C$29=$A17),0)),"")</f>
        <v>73603</v>
      </c>
      <c r="D17" s="54">
        <f t="array" ref="D17">IFERROR(INDEX('Resultados Eli'!$K$5:$K$29,MATCH(1,('Resultados Eli'!$B$5:$B$29="V3_rotacion")*('Resultados Eli'!$C$5:$C$29=$A17),0)),"")</f>
        <v>70031</v>
      </c>
      <c r="E17" s="54">
        <f t="array" ref="E17">IFERROR(INDEX('Resultados Eli'!$K$5:$K$29,MATCH(1,('Resultados Eli'!$B$5:$B$29="V2_pca90")*('Resultados Eli'!$C$5:$C$29=$A17),0)),"")</f>
        <v>75929</v>
      </c>
      <c r="F17" s="54">
        <f t="array" ref="F17">IFERROR(INDEX('Resultados Eli'!$K$5:$K$29,MATCH(1,('Resultados Eli'!$B$5:$B$29="V1_pca80")*('Resultados Eli'!$C$5:$C$29=$A17),0)),"")</f>
        <v>83239</v>
      </c>
      <c r="G17" s="54">
        <f t="shared" ref="G17:J17" si="5">IF(OR($B17="",C17=""),"",C17-$B17)</f>
        <v>4486</v>
      </c>
      <c r="H17" s="54">
        <f t="shared" si="5"/>
        <v>914</v>
      </c>
      <c r="I17" s="54">
        <f t="shared" si="5"/>
        <v>6812</v>
      </c>
      <c r="J17" s="54">
        <f t="shared" si="5"/>
        <v>14122</v>
      </c>
    </row>
    <row r="18" ht="15.0" customHeight="1">
      <c r="A18" s="33">
        <v>200171.0</v>
      </c>
      <c r="B18" s="54">
        <f t="array" ref="B18">IFERROR(INDEX('Resultados Eli'!$K$5:$K$29,MATCH(1,('Resultados Eli'!$B$5:$B$29="V0_baseline")*('Resultados Eli'!$C$5:$C$29=$A18),0)),"")</f>
        <v>72772</v>
      </c>
      <c r="C18" s="54">
        <f t="array" ref="C18">IFERROR(INDEX('Resultados Eli'!$K$5:$K$29,MATCH(1,('Resultados Eli'!$B$5:$B$29="V4_augment")*('Resultados Eli'!$C$5:$C$29=$A18),0)),"")</f>
        <v>69698</v>
      </c>
      <c r="D18" s="54">
        <f t="array" ref="D18">IFERROR(INDEX('Resultados Eli'!$K$5:$K$29,MATCH(1,('Resultados Eli'!$B$5:$B$29="V3_rotacion")*('Resultados Eli'!$C$5:$C$29=$A18),0)),"")</f>
        <v>72606</v>
      </c>
      <c r="E18" s="54">
        <f t="array" ref="E18">IFERROR(INDEX('Resultados Eli'!$K$5:$K$29,MATCH(1,('Resultados Eli'!$B$5:$B$29="V2_pca90")*('Resultados Eli'!$C$5:$C$29=$A18),0)),"")</f>
        <v>82575</v>
      </c>
      <c r="F18" s="54">
        <f t="array" ref="F18">IFERROR(INDEX('Resultados Eli'!$K$5:$K$29,MATCH(1,('Resultados Eli'!$B$5:$B$29="V1_pca80")*('Resultados Eli'!$C$5:$C$29=$A18),0)),"")</f>
        <v>84403</v>
      </c>
      <c r="G18" s="54">
        <f t="shared" ref="G18:J18" si="6">IF(OR($B18="",C18=""),"",C18-$B18)</f>
        <v>-3074</v>
      </c>
      <c r="H18" s="54">
        <f t="shared" si="6"/>
        <v>-166</v>
      </c>
      <c r="I18" s="54">
        <f t="shared" si="6"/>
        <v>9803</v>
      </c>
      <c r="J18" s="54">
        <f t="shared" si="6"/>
        <v>11631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.0" customHeight="1">
      <c r="A20" s="47" t="s">
        <v>95</v>
      </c>
      <c r="B20" s="2"/>
      <c r="C20" s="2"/>
      <c r="D20" s="2"/>
      <c r="E20" s="2"/>
      <c r="F20" s="2"/>
      <c r="G20" s="46">
        <f t="shared" ref="G20:J20" si="7">COUNTIF(G14:G18,"&gt;0")</f>
        <v>3</v>
      </c>
      <c r="H20" s="46">
        <f t="shared" si="7"/>
        <v>3</v>
      </c>
      <c r="I20" s="46">
        <f t="shared" si="7"/>
        <v>5</v>
      </c>
      <c r="J20" s="46">
        <f t="shared" si="7"/>
        <v>5</v>
      </c>
    </row>
    <row r="21" ht="15.0" customHeight="1">
      <c r="A21" s="47" t="s">
        <v>96</v>
      </c>
      <c r="B21" s="2"/>
      <c r="C21" s="2"/>
      <c r="D21" s="2"/>
      <c r="E21" s="2"/>
      <c r="F21" s="2"/>
      <c r="G21" s="46">
        <f t="shared" ref="G21:J21" si="8">COUNTIF(G14:G18,"&lt;0")</f>
        <v>2</v>
      </c>
      <c r="H21" s="46">
        <f t="shared" si="8"/>
        <v>2</v>
      </c>
      <c r="I21" s="46">
        <f t="shared" si="8"/>
        <v>0</v>
      </c>
      <c r="J21" s="46">
        <f t="shared" si="8"/>
        <v>0</v>
      </c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0" customHeight="1">
      <c r="A23" s="3" t="s">
        <v>97</v>
      </c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2026-07-11T17:50:36Z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